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tables/table2.xml" ContentType="application/vnd.openxmlformats-officedocument.spreadsheetml.table+xml"/>
  <Override PartName="/xl/slicers/slicer1.xml" ContentType="application/vnd.ms-excel.slicer+xml"/>
  <Override PartName="/xl/drawings/drawing2.xml" ContentType="application/vnd.openxmlformats-officedocument.drawing+xml"/>
  <Override PartName="/xl/charts/chart1.xml" ContentType="application/vnd.openxmlformats-officedocument.drawingml.chart+xml"/>
  <Override PartName="/xl/drawings/drawing3.xml" ContentType="application/vnd.openxmlformats-officedocument.drawing+xml"/>
  <Override PartName="/xl/slicers/slicer2.xml" ContentType="application/vnd.ms-excel.slicer+xml"/>
  <Override PartName="/xl/charts/chart2.xml" ContentType="application/vnd.openxmlformats-officedocument.drawingml.chart+xml"/>
  <Override PartName="/xl/charts/style1.xml" ContentType="application/vnd.ms-office.chartstyle+xml"/>
  <Override PartName="/xl/charts/colors1.xml" ContentType="application/vnd.ms-office.chartcolorstyle+xml"/>
  <Override PartName="/xl/charts/chart3.xml" ContentType="application/vnd.openxmlformats-officedocument.drawingml.chart+xml"/>
  <Override PartName="/xl/charts/style2.xml" ContentType="application/vnd.ms-office.chartstyle+xml"/>
  <Override PartName="/xl/charts/colors2.xml" ContentType="application/vnd.ms-office.chartcolorstyle+xml"/>
  <Override PartName="/xl/charts/chart4.xml" ContentType="application/vnd.openxmlformats-officedocument.drawingml.chart+xml"/>
  <Override PartName="/xl/charts/style3.xml" ContentType="application/vnd.ms-office.chartstyle+xml"/>
  <Override PartName="/xl/charts/colors3.xml" ContentType="application/vnd.ms-office.chartcolorstyle+xml"/>
  <Override PartName="/xl/charts/chart5.xml" ContentType="application/vnd.openxmlformats-officedocument.drawingml.chart+xml"/>
  <Override PartName="/xl/charts/style4.xml" ContentType="application/vnd.ms-office.chartstyle+xml"/>
  <Override PartName="/xl/charts/colors4.xml" ContentType="application/vnd.ms-office.chartcolorstyle+xml"/>
  <Override PartName="/xl/charts/chart6.xml" ContentType="application/vnd.openxmlformats-officedocument.drawingml.chart+xml"/>
  <Override PartName="/xl/charts/style5.xml" ContentType="application/vnd.ms-office.chartstyle+xml"/>
  <Override PartName="/xl/charts/colors5.xml" ContentType="application/vnd.ms-office.chartcolorstyle+xml"/>
  <Override PartName="/xl/charts/chart7.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codeName="EstaPastaDeTrabalho" hidePivotFieldList="1"/>
  <mc:AlternateContent xmlns:mc="http://schemas.openxmlformats.org/markup-compatibility/2006">
    <mc:Choice Requires="x15">
      <x15ac:absPath xmlns:x15ac="http://schemas.microsoft.com/office/spreadsheetml/2010/11/ac" url="C:\Users\Almeida\Desktop\"/>
    </mc:Choice>
  </mc:AlternateContent>
  <xr:revisionPtr revIDLastSave="0" documentId="8_{03712246-E063-42F4-99B8-861CADC4AD5A}" xr6:coauthVersionLast="47" xr6:coauthVersionMax="47" xr10:uidLastSave="{00000000-0000-0000-0000-000000000000}"/>
  <bookViews>
    <workbookView xWindow="-120" yWindow="-120" windowWidth="29040" windowHeight="15720" activeTab="3" xr2:uid="{00000000-000D-0000-FFFF-FFFF00000000}"/>
  </bookViews>
  <sheets>
    <sheet name="Base_Dados" sheetId="1" r:id="rId1"/>
    <sheet name="Sheet7" sheetId="23" r:id="rId2"/>
    <sheet name="KPIs" sheetId="2" r:id="rId3"/>
    <sheet name="Dashboard" sheetId="3" r:id="rId4"/>
  </sheets>
  <definedNames>
    <definedName name="Slicer_Região1">#N/A</definedName>
  </definedNames>
  <calcPr calcId="191029"/>
  <pivotCaches>
    <pivotCache cacheId="14" r:id="rId5"/>
  </pivotCaches>
  <extLst>
    <ext xmlns:x14="http://schemas.microsoft.com/office/spreadsheetml/2009/9/main" uri="{BBE1A952-AA13-448e-AADC-164F8A28A991}">
      <x14:slicerCaches>
        <x14:slicerCache r:id="rId6"/>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7" i="23" l="1"/>
  <c r="K49" i="3"/>
  <c r="R9" i="23"/>
  <c r="B3" i="2"/>
  <c r="B4" i="2"/>
  <c r="B5" i="2" l="1"/>
</calcChain>
</file>

<file path=xl/sharedStrings.xml><?xml version="1.0" encoding="utf-8"?>
<sst xmlns="http://schemas.openxmlformats.org/spreadsheetml/2006/main" count="79" uniqueCount="38">
  <si>
    <t>Data</t>
  </si>
  <si>
    <t>Categoria</t>
  </si>
  <si>
    <t>Produto</t>
  </si>
  <si>
    <t>Região</t>
  </si>
  <si>
    <t>Vendedor</t>
  </si>
  <si>
    <t>Quantidade</t>
  </si>
  <si>
    <t>Faturamento</t>
  </si>
  <si>
    <t>2026-01</t>
  </si>
  <si>
    <t>Notebook</t>
  </si>
  <si>
    <t>Dell</t>
  </si>
  <si>
    <t>Nordeste</t>
  </si>
  <si>
    <t>João</t>
  </si>
  <si>
    <t>Monitor</t>
  </si>
  <si>
    <t>LG</t>
  </si>
  <si>
    <t>Sudeste</t>
  </si>
  <si>
    <t>Maria</t>
  </si>
  <si>
    <t>2026-02</t>
  </si>
  <si>
    <t>Lenovo</t>
  </si>
  <si>
    <t>Mouse</t>
  </si>
  <si>
    <t>Dashboard Executivo</t>
  </si>
  <si>
    <t>Faturamento Total</t>
  </si>
  <si>
    <t>Qtd. Vendida</t>
  </si>
  <si>
    <t>Ticket Médio</t>
  </si>
  <si>
    <t>Sum of Faturamento</t>
  </si>
  <si>
    <t>Sum of Quantidade</t>
  </si>
  <si>
    <t>Rótulos de Linha</t>
  </si>
  <si>
    <t>Total Geral</t>
  </si>
  <si>
    <t>Rótulos de Coluna</t>
  </si>
  <si>
    <t>Soma de Faturamento</t>
  </si>
  <si>
    <t>NORDESTE</t>
  </si>
  <si>
    <t>VENDAS</t>
  </si>
  <si>
    <t>UNIDADE</t>
  </si>
  <si>
    <t>SUDESTE</t>
  </si>
  <si>
    <t>SUL</t>
  </si>
  <si>
    <t>PERIODO</t>
  </si>
  <si>
    <t>JAN</t>
  </si>
  <si>
    <t>FEV</t>
  </si>
  <si>
    <t>MAR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</si>
</sst>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164" formatCode="&quot;R$ &quot;#.##000"/>
    <numFmt numFmtId="165" formatCode="_-[$R$-416]\ * #,##0.00_-;\-[$R$-416]\ * #,##0.00_-;_-[$R$-416]\ * &quot;-&quot;??_-;_-@_-"/>
  </numFmts>
  <fonts count="7" x14ac:knownFonts="1">
    <font>
      <sz val="11"/>
      <color theme="1"/>
      <name val="Calibri"/>
      <family val="2"/>
      <scheme val="minor"/>
    </font>
    <font>
      <b/>
      <sz val="11"/>
      <color rgb="FFFFFFFF"/>
      <name val="Calibri"/>
    </font>
    <font>
      <b/>
      <sz val="16"/>
      <name val="Calibri"/>
    </font>
    <font>
      <b/>
      <sz val="18"/>
      <name val="Calibri"/>
    </font>
    <font>
      <b/>
      <sz val="11"/>
      <color rgb="FFFFFFFF"/>
      <name val="Calibri"/>
      <family val="2"/>
    </font>
    <font>
      <u/>
      <sz val="11"/>
      <color theme="1"/>
      <name val="Calibri"/>
      <family val="2"/>
      <scheme val="minor"/>
    </font>
    <font>
      <sz val="11"/>
      <color theme="0"/>
      <name val="Calibri"/>
      <family val="2"/>
      <scheme val="minor"/>
    </font>
  </fonts>
  <fills count="4">
    <fill>
      <patternFill patternType="none"/>
    </fill>
    <fill>
      <patternFill patternType="gray125"/>
    </fill>
    <fill>
      <patternFill patternType="solid">
        <fgColor rgb="FF1F4E78"/>
      </patternFill>
    </fill>
    <fill>
      <patternFill patternType="solid">
        <fgColor theme="7"/>
      </patternFill>
    </fill>
  </fills>
  <borders count="1">
    <border>
      <left/>
      <right/>
      <top/>
      <bottom/>
      <diagonal/>
    </border>
  </borders>
  <cellStyleXfs count="2">
    <xf numFmtId="0" fontId="0" fillId="0" borderId="0"/>
    <xf numFmtId="0" fontId="6" fillId="3" borderId="0" applyNumberFormat="0" applyBorder="0" applyAlignment="0" applyProtection="0"/>
  </cellStyleXfs>
  <cellXfs count="13">
    <xf numFmtId="0" fontId="0" fillId="0" borderId="0" xfId="0"/>
    <xf numFmtId="0" fontId="1" fillId="2" borderId="0" xfId="0" applyFont="1" applyFill="1"/>
    <xf numFmtId="0" fontId="2" fillId="0" borderId="0" xfId="0" applyFont="1"/>
    <xf numFmtId="0" fontId="3" fillId="0" borderId="0" xfId="0" applyFont="1"/>
    <xf numFmtId="0" fontId="0" fillId="0" borderId="0" xfId="0" pivotButton="1"/>
    <xf numFmtId="0" fontId="0" fillId="0" borderId="0" xfId="0" applyAlignment="1">
      <alignment horizontal="left"/>
    </xf>
    <xf numFmtId="0" fontId="4" fillId="2" borderId="0" xfId="0" applyFont="1" applyFill="1"/>
    <xf numFmtId="0" fontId="5" fillId="0" borderId="0" xfId="0" applyFont="1"/>
    <xf numFmtId="164" fontId="0" fillId="0" borderId="0" xfId="0" applyNumberFormat="1"/>
    <xf numFmtId="165" fontId="0" fillId="0" borderId="0" xfId="0" applyNumberFormat="1"/>
    <xf numFmtId="0" fontId="0" fillId="0" borderId="0" xfId="0" applyNumberFormat="1"/>
    <xf numFmtId="0" fontId="6" fillId="3" borderId="0" xfId="1"/>
    <xf numFmtId="165" fontId="6" fillId="3" borderId="0" xfId="1" applyNumberFormat="1"/>
  </cellXfs>
  <cellStyles count="2">
    <cellStyle name="Ênfase4" xfId="1" builtinId="41"/>
    <cellStyle name="Normal" xfId="0" builtinId="0"/>
  </cellStyles>
  <dxfs count="11">
    <dxf>
      <numFmt numFmtId="165" formatCode="_-[$R$-416]\ * #,##0.00_-;\-[$R$-416]\ * #,##0.00_-;_-[$R$-416]\ * &quot;-&quot;??_-;_-@_-"/>
    </dxf>
    <dxf>
      <numFmt numFmtId="165" formatCode="_-[$R$-416]\ * #,##0.00_-;\-[$R$-416]\ * #,##0.00_-;_-[$R$-416]\ * &quot;-&quot;??_-;_-@_-"/>
    </dxf>
    <dxf>
      <numFmt numFmtId="165" formatCode="_-[$R$-416]\ * #,##0.00_-;\-[$R$-416]\ * #,##0.00_-;_-[$R$-416]\ * &quot;-&quot;??_-;_-@_-"/>
    </dxf>
    <dxf>
      <numFmt numFmtId="165" formatCode="_-[$R$-416]\ * #,##0.00_-;\-[$R$-416]\ * #,##0.00_-;_-[$R$-416]\ * &quot;-&quot;??_-;_-@_-"/>
    </dxf>
    <dxf>
      <font>
        <color rgb="FF9C0006"/>
      </font>
      <fill>
        <patternFill>
          <bgColor rgb="FFFFC7CE"/>
        </patternFill>
      </fill>
    </dxf>
    <dxf>
      <numFmt numFmtId="165" formatCode="_-[$R$-416]\ * #,##0.00_-;\-[$R$-416]\ * #,##0.00_-;_-[$R$-416]\ * &quot;-&quot;??_-;_-@_-"/>
    </dxf>
    <dxf>
      <numFmt numFmtId="165" formatCode="_-[$R$-416]\ * #,##0.00_-;\-[$R$-416]\ * #,##0.00_-;_-[$R$-416]\ * &quot;-&quot;??_-;_-@_-"/>
    </dxf>
    <dxf>
      <numFmt numFmtId="165" formatCode="_-[$R$-416]\ * #,##0.00_-;\-[$R$-416]\ * #,##0.00_-;_-[$R$-416]\ * &quot;-&quot;??_-;_-@_-"/>
    </dxf>
    <dxf>
      <numFmt numFmtId="165" formatCode="_-[$R$-416]\ * #,##0.00_-;\-[$R$-416]\ * #,##0.00_-;_-[$R$-416]\ * &quot;-&quot;??_-;_-@_-"/>
    </dxf>
    <dxf>
      <font>
        <b/>
        <i val="0"/>
        <strike val="0"/>
        <condense val="0"/>
        <extend val="0"/>
        <outline val="0"/>
        <shadow val="0"/>
        <u val="none"/>
        <vertAlign val="baseline"/>
        <sz val="11"/>
        <color rgb="FFFFFFFF"/>
        <name val="Calibri"/>
        <scheme val="none"/>
      </font>
      <fill>
        <patternFill patternType="solid">
          <fgColor indexed="64"/>
          <bgColor rgb="FF1F4E78"/>
        </patternFill>
      </fill>
    </dxf>
    <dxf>
      <font>
        <sz val="10"/>
        <name val="Arial Black"/>
        <family val="2"/>
        <scheme val="none"/>
      </font>
    </dxf>
  </dxfs>
  <tableStyles count="3" defaultTableStyle="TableStyleMedium2" defaultPivotStyle="PivotStyleLight16">
    <tableStyle name="Estilo de Tabela 1" pivot="0" count="0" xr9:uid="{224FC9C1-F872-4AD1-9764-E4172D149952}"/>
    <tableStyle name="Slicer Style 1" pivot="0" table="0" count="1" xr9:uid="{96346126-6FA3-4CBB-8E9B-34116357B5AD}">
      <tableStyleElement type="wholeTable" dxfId="10"/>
    </tableStyle>
    <tableStyle name="Slicer Style 2" pivot="0" table="0" count="8" xr9:uid="{E6E7387A-3573-418B-B19F-630A41E0512C}"/>
  </tableStyles>
  <colors>
    <mruColors>
      <color rgb="FF8149CF"/>
      <color rgb="FFEAEAEA"/>
      <color rgb="FF6459A2"/>
      <color rgb="FF3B2E6B"/>
      <color rgb="FF292929"/>
    </mruColors>
  </colors>
  <extLst>
    <ext xmlns:x14="http://schemas.microsoft.com/office/spreadsheetml/2009/9/main" uri="{46F421CA-312F-682f-3DD2-61675219B42D}">
      <x14:dxfs count="8">
        <dxf>
          <border diagonalUp="0" diagonalDown="0">
            <left/>
            <right/>
            <top/>
            <bottom/>
            <vertical/>
            <horizontal/>
          </border>
        </dxf>
        <dxf>
          <border diagonalUp="0" diagonalDown="0">
            <left/>
            <right/>
            <top/>
            <bottom/>
            <vertical/>
            <horizontal/>
          </border>
        </dxf>
        <dxf>
          <border diagonalUp="0" diagonalDown="0">
            <left/>
            <right/>
            <top/>
            <bottom/>
            <vertical/>
            <horizontal/>
          </border>
        </dxf>
        <dxf>
          <border diagonalUp="0" diagonalDown="0">
            <left/>
            <right/>
            <top/>
            <bottom/>
            <vertical/>
            <horizontal/>
          </border>
        </dxf>
        <dxf>
          <border diagonalUp="0" diagonalDown="0">
            <left/>
            <right/>
            <top/>
            <bottom/>
            <vertical/>
            <horizontal/>
          </border>
        </dxf>
        <dxf>
          <border diagonalUp="0" diagonalDown="0">
            <left/>
            <right/>
            <top/>
            <bottom/>
            <vertical/>
            <horizontal/>
          </border>
        </dxf>
        <dxf>
          <border diagonalUp="0" diagonalDown="0">
            <left/>
            <right/>
            <top/>
            <bottom/>
            <vertical/>
            <horizontal/>
          </border>
        </dxf>
        <dxf>
          <border diagonalUp="0" diagonalDown="0">
            <left/>
            <right/>
            <top/>
            <bottom/>
            <vertical/>
            <horizontal/>
          </border>
        </dxf>
      </x14:dxfs>
    </ext>
    <ext xmlns:x14="http://schemas.microsoft.com/office/spreadsheetml/2009/9/main" uri="{EB79DEF2-80B8-43e5-95BD-54CBDDF9020C}">
      <x14:slicerStyles defaultSlicerStyle="SlicerStyleLight1">
        <x14:slicerStyle name="Slicer Style 1"/>
        <x14:slicerStyle name="Slicer Style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13"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customXml" Target="../customXml/item1.xml"/><Relationship Id="rId5" Type="http://schemas.openxmlformats.org/officeDocument/2006/relationships/pivotCacheDefinition" Target="pivotCache/pivotCacheDefinition1.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charts/_rels/chart2.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3.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4.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5.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6.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7.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1"/>
  <c:style val="2"/>
  <c:chart>
    <c:autoTitleDeleted val="1"/>
    <c:plotArea>
      <c:layout/>
      <c:barChart>
        <c:barDir val="col"/>
        <c:grouping val="clustered"/>
        <c:varyColors val="1"/>
        <c:dLbls>
          <c:showLegendKey val="0"/>
          <c:showVal val="0"/>
          <c:showCatName val="0"/>
          <c:showSerName val="0"/>
          <c:showPercent val="0"/>
          <c:showBubbleSize val="0"/>
        </c:dLbls>
        <c:gapWidth val="150"/>
        <c:axId val="10"/>
        <c:axId val="100"/>
      </c:barChart>
      <c:catAx>
        <c:axId val="10"/>
        <c:scaling>
          <c:orientation val="minMax"/>
        </c:scaling>
        <c:delete val="1"/>
        <c:axPos val="b"/>
        <c:numFmt formatCode="General" sourceLinked="1"/>
        <c:majorTickMark val="none"/>
        <c:minorTickMark val="none"/>
        <c:tickLblPos val="nextTo"/>
        <c:crossAx val="100"/>
        <c:crosses val="autoZero"/>
        <c:auto val="1"/>
        <c:lblAlgn val="ctr"/>
        <c:lblOffset val="100"/>
        <c:noMultiLvlLbl val="1"/>
      </c:catAx>
      <c:valAx>
        <c:axId val="100"/>
        <c:scaling>
          <c:orientation val="minMax"/>
        </c:scaling>
        <c:delete val="1"/>
        <c:axPos val="l"/>
        <c:numFmt formatCode="General" sourceLinked="1"/>
        <c:majorTickMark val="none"/>
        <c:minorTickMark val="none"/>
        <c:tickLblPos val="nextTo"/>
        <c:crossAx val="10"/>
        <c:crosses val="autoZero"/>
        <c:crossBetween val="between"/>
      </c:valAx>
      <c:spPr>
        <a:noFill/>
      </c:spPr>
    </c:plotArea>
    <c:plotVisOnly val="1"/>
    <c:dispBlanksAs val="gap"/>
    <c:showDLblsOverMax val="1"/>
  </c:chart>
  <c:spPr>
    <a:noFill/>
    <a:ln>
      <a:noFill/>
    </a:ln>
  </c:spPr>
  <c:txPr>
    <a:bodyPr/>
    <a:lstStyle/>
    <a:p>
      <a:pPr>
        <a:defRPr>
          <a:noFill/>
        </a:defRPr>
      </a:pPr>
      <a:endParaRPr lang="pt-BR"/>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0"/>
  <mc:AlternateContent xmlns:mc="http://schemas.openxmlformats.org/markup-compatibility/2006">
    <mc:Choice xmlns:c14="http://schemas.microsoft.com/office/drawing/2007/8/2/chart" Requires="c14">
      <c14:style val="106"/>
    </mc:Choice>
    <mc:Fallback>
      <c:style val="6"/>
    </mc:Fallback>
  </mc:AlternateContent>
  <c:chart>
    <c:autoTitleDeleted val="1"/>
    <c:pivotFmts>
      <c:pivotFmt>
        <c:idx val="0"/>
        <c:spPr>
          <a:solidFill>
            <a:schemeClr val="accent4"/>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BR"/>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4"/>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BR"/>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4"/>
          </a:solidFill>
          <a:ln w="19050">
            <a:solidFill>
              <a:schemeClr val="lt1"/>
            </a:solidFill>
          </a:ln>
          <a:effectLst/>
        </c:spPr>
      </c:pivotFmt>
      <c:pivotFmt>
        <c:idx val="3"/>
        <c:spPr>
          <a:solidFill>
            <a:schemeClr val="accent4"/>
          </a:solidFill>
          <a:ln w="19050">
            <a:solidFill>
              <a:schemeClr val="lt1"/>
            </a:solidFill>
          </a:ln>
          <a:effectLst/>
        </c:spPr>
      </c:pivotFmt>
      <c:pivotFmt>
        <c:idx val="4"/>
        <c:spPr>
          <a:solidFill>
            <a:schemeClr val="accent4"/>
          </a:solidFill>
          <a:ln w="19050">
            <a:solidFill>
              <a:schemeClr val="lt1"/>
            </a:solidFill>
          </a:ln>
          <a:effectLst/>
        </c:spPr>
      </c:pivotFmt>
      <c:pivotFmt>
        <c:idx val="5"/>
        <c:spPr>
          <a:solidFill>
            <a:schemeClr val="accent4"/>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BR"/>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4"/>
          </a:solidFill>
          <a:ln w="19050">
            <a:solidFill>
              <a:schemeClr val="lt1"/>
            </a:solidFill>
          </a:ln>
          <a:effectLst/>
        </c:spPr>
      </c:pivotFmt>
      <c:pivotFmt>
        <c:idx val="7"/>
        <c:spPr>
          <a:solidFill>
            <a:schemeClr val="accent4"/>
          </a:solidFill>
          <a:ln w="19050">
            <a:solidFill>
              <a:schemeClr val="lt1"/>
            </a:solidFill>
          </a:ln>
          <a:effectLst/>
        </c:spPr>
      </c:pivotFmt>
      <c:pivotFmt>
        <c:idx val="8"/>
        <c:spPr>
          <a:solidFill>
            <a:schemeClr val="accent4"/>
          </a:solidFill>
          <a:ln w="19050">
            <a:solidFill>
              <a:schemeClr val="lt1"/>
            </a:solidFill>
          </a:ln>
          <a:effectLst/>
        </c:spPr>
      </c:pivotFmt>
    </c:pivotFmts>
    <c:plotArea>
      <c:layout/>
      <c:doughnutChart>
        <c:varyColors val="1"/>
        <c:dLbls>
          <c:showLegendKey val="0"/>
          <c:showVal val="0"/>
          <c:showCatName val="0"/>
          <c:showSerName val="0"/>
          <c:showPercent val="0"/>
          <c:showBubbleSize val="0"/>
          <c:showLeaderLines val="0"/>
        </c:dLbls>
        <c:firstSliceAng val="0"/>
        <c:holeSize val="75"/>
      </c:doughnutChart>
      <c:spPr>
        <a:noFill/>
        <a:ln>
          <a:noFill/>
        </a:ln>
        <a:effectLst>
          <a:glow rad="63500">
            <a:schemeClr val="accent1">
              <a:satMod val="175000"/>
              <a:alpha val="40000"/>
            </a:schemeClr>
          </a:glow>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pt-BR"/>
    </a:p>
  </c:txPr>
  <c:printSettings>
    <c:headerFooter/>
    <c:pageMargins b="0.75" l="0.7" r="0.7" t="0.75" header="0.3" footer="0.3"/>
    <c:pageSetup/>
  </c:printSettings>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BR"/>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BR"/>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bg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pt-BR"/>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dLbls>
          <c:showLegendKey val="0"/>
          <c:showVal val="0"/>
          <c:showCatName val="0"/>
          <c:showSerName val="0"/>
          <c:showPercent val="0"/>
          <c:showBubbleSize val="0"/>
        </c:dLbls>
        <c:gapWidth val="182"/>
        <c:axId val="721213024"/>
        <c:axId val="544535856"/>
      </c:barChart>
      <c:catAx>
        <c:axId val="721213024"/>
        <c:scaling>
          <c:orientation val="minMax"/>
        </c:scaling>
        <c:delete val="0"/>
        <c:axPos val="l"/>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1" i="0" u="none" strike="noStrike" kern="1200" baseline="0">
                <a:solidFill>
                  <a:schemeClr val="bg1"/>
                </a:solidFill>
                <a:latin typeface="Arial" panose="020B0604020202020204" pitchFamily="34" charset="0"/>
                <a:ea typeface="+mn-ea"/>
                <a:cs typeface="Arial" panose="020B0604020202020204" pitchFamily="34" charset="0"/>
              </a:defRPr>
            </a:pPr>
            <a:endParaRPr lang="pt-BR"/>
          </a:p>
        </c:txPr>
        <c:crossAx val="544535856"/>
        <c:crosses val="autoZero"/>
        <c:auto val="1"/>
        <c:lblAlgn val="ctr"/>
        <c:lblOffset val="100"/>
        <c:noMultiLvlLbl val="0"/>
      </c:catAx>
      <c:valAx>
        <c:axId val="544535856"/>
        <c:scaling>
          <c:orientation val="minMax"/>
        </c:scaling>
        <c:delete val="1"/>
        <c:axPos val="b"/>
        <c:numFmt formatCode="General" sourceLinked="1"/>
        <c:majorTickMark val="none"/>
        <c:minorTickMark val="none"/>
        <c:tickLblPos val="nextTo"/>
        <c:crossAx val="72121302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solidFill>
            <a:schemeClr val="bg1"/>
          </a:solidFill>
        </a:defRPr>
      </a:pPr>
      <a:endParaRPr lang="pt-BR"/>
    </a:p>
  </c:txPr>
  <c:printSettings>
    <c:headerFooter/>
    <c:pageMargins b="0.75" l="0.7" r="0.7" t="0.75" header="0.3" footer="0.3"/>
    <c:pageSetup/>
  </c:printSettings>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0"/>
  <mc:AlternateContent xmlns:mc="http://schemas.openxmlformats.org/markup-compatibility/2006">
    <mc:Choice xmlns:c14="http://schemas.microsoft.com/office/drawing/2007/8/2/chart" Requires="c14">
      <c14:style val="106"/>
    </mc:Choice>
    <mc:Fallback>
      <c:style val="6"/>
    </mc:Fallback>
  </mc:AlternateContent>
  <c:pivotSource>
    <c:name>[PROJETO - DASHBOARD.xlsx]Sheet7!PivotTable21</c:name>
    <c:fmtId val="47"/>
  </c:pivotSource>
  <c:chart>
    <c:autoTitleDeleted val="1"/>
    <c:pivotFmts>
      <c:pivotFmt>
        <c:idx val="0"/>
        <c:spPr>
          <a:solidFill>
            <a:schemeClr val="accent4"/>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BR"/>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4"/>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BR"/>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4"/>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BR"/>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4"/>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BR"/>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4"/>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BR"/>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4"/>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BR"/>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4"/>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BR"/>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4"/>
          </a:solidFill>
          <a:ln>
            <a:noFill/>
          </a:ln>
          <a:effectLst/>
          <a:sp3d/>
        </c:spPr>
      </c:pivotFmt>
      <c:pivotFmt>
        <c:idx val="8"/>
        <c:spPr>
          <a:solidFill>
            <a:schemeClr val="accent4">
              <a:lumMod val="75000"/>
            </a:schemeClr>
          </a:solidFill>
          <a:ln>
            <a:solidFill>
              <a:schemeClr val="accent4">
                <a:lumMod val="75000"/>
              </a:schemeClr>
            </a:solidFill>
          </a:ln>
          <a:effectLst/>
          <a:sp3d>
            <a:contourClr>
              <a:schemeClr val="accent4">
                <a:lumMod val="75000"/>
              </a:schemeClr>
            </a:contourClr>
          </a:sp3d>
        </c:spPr>
      </c:pivotFmt>
      <c:pivotFmt>
        <c:idx val="9"/>
        <c:spPr>
          <a:solidFill>
            <a:schemeClr val="accent4">
              <a:lumMod val="60000"/>
              <a:lumOff val="40000"/>
            </a:schemeClr>
          </a:solidFill>
          <a:ln>
            <a:noFill/>
          </a:ln>
          <a:effectLst/>
          <a:sp3d/>
        </c:spPr>
      </c:pivotFmt>
      <c:pivotFmt>
        <c:idx val="10"/>
        <c:spPr>
          <a:solidFill>
            <a:schemeClr val="accent4">
              <a:lumMod val="40000"/>
              <a:lumOff val="60000"/>
            </a:schemeClr>
          </a:solidFill>
          <a:ln>
            <a:noFill/>
          </a:ln>
          <a:effectLst/>
          <a:sp3d/>
        </c:spPr>
      </c:pivotFmt>
      <c:pivotFmt>
        <c:idx val="11"/>
        <c:spPr>
          <a:solidFill>
            <a:schemeClr val="accent4">
              <a:lumMod val="50000"/>
            </a:schemeClr>
          </a:solidFill>
          <a:ln>
            <a:noFill/>
          </a:ln>
          <a:effectLst/>
          <a:sp3d/>
        </c:spPr>
      </c:pivotFmt>
    </c:pivotFmts>
    <c:view3D>
      <c:rotX val="15"/>
      <c:rotY val="20"/>
      <c:rAngAx val="0"/>
    </c:view3D>
    <c:floor>
      <c:thickness val="0"/>
      <c:spPr>
        <a:solidFill>
          <a:srgbClr val="6459A2"/>
        </a:solidFill>
        <a:ln>
          <a:noFill/>
        </a:ln>
        <a:effectLst/>
        <a:sp3d/>
      </c:spPr>
    </c:floor>
    <c:sideWall>
      <c:thickness val="0"/>
      <c:spPr>
        <a:noFill/>
        <a:ln w="25400">
          <a:noFill/>
        </a:ln>
        <a:effectLst/>
        <a:sp3d/>
      </c:spPr>
    </c:sideWall>
    <c:backWall>
      <c:thickness val="0"/>
      <c:spPr>
        <a:noFill/>
        <a:ln w="25400">
          <a:noFill/>
        </a:ln>
        <a:effectLst/>
        <a:sp3d/>
      </c:spPr>
    </c:backWall>
    <c:plotArea>
      <c:layout/>
      <c:bar3DChart>
        <c:barDir val="bar"/>
        <c:grouping val="stacked"/>
        <c:varyColors val="0"/>
        <c:ser>
          <c:idx val="0"/>
          <c:order val="0"/>
          <c:tx>
            <c:strRef>
              <c:f>Sheet7!$F$3:$F$4</c:f>
              <c:strCache>
                <c:ptCount val="1"/>
                <c:pt idx="0">
                  <c:v>Nordeste</c:v>
                </c:pt>
              </c:strCache>
            </c:strRef>
          </c:tx>
          <c:spPr>
            <a:solidFill>
              <a:schemeClr val="accent4"/>
            </a:solidFill>
            <a:ln>
              <a:noFill/>
            </a:ln>
            <a:effectLst/>
            <a:sp3d/>
          </c:spPr>
          <c:invertIfNegative val="0"/>
          <c:dPt>
            <c:idx val="1"/>
            <c:invertIfNegative val="0"/>
            <c:bubble3D val="0"/>
            <c:spPr>
              <a:solidFill>
                <a:schemeClr val="accent4">
                  <a:lumMod val="50000"/>
                </a:schemeClr>
              </a:solidFill>
              <a:ln>
                <a:noFill/>
              </a:ln>
              <a:effectLst/>
              <a:sp3d/>
            </c:spPr>
            <c:extLst>
              <c:ext xmlns:c16="http://schemas.microsoft.com/office/drawing/2014/chart" uri="{C3380CC4-5D6E-409C-BE32-E72D297353CC}">
                <c16:uniqueId val="{00000007-BE05-448B-8E48-DB1382322476}"/>
              </c:ext>
            </c:extLst>
          </c:dPt>
          <c:dPt>
            <c:idx val="2"/>
            <c:invertIfNegative val="0"/>
            <c:bubble3D val="0"/>
            <c:spPr>
              <a:solidFill>
                <a:schemeClr val="accent4">
                  <a:lumMod val="40000"/>
                  <a:lumOff val="60000"/>
                </a:schemeClr>
              </a:solidFill>
              <a:ln>
                <a:noFill/>
              </a:ln>
              <a:effectLst/>
              <a:sp3d/>
            </c:spPr>
            <c:extLst>
              <c:ext xmlns:c16="http://schemas.microsoft.com/office/drawing/2014/chart" uri="{C3380CC4-5D6E-409C-BE32-E72D297353CC}">
                <c16:uniqueId val="{00000008-BE05-448B-8E48-DB1382322476}"/>
              </c:ext>
            </c:extLst>
          </c:dPt>
          <c:cat>
            <c:strRef>
              <c:f>Sheet7!$E$5:$E$8</c:f>
              <c:strCache>
                <c:ptCount val="3"/>
                <c:pt idx="0">
                  <c:v>Dell</c:v>
                </c:pt>
                <c:pt idx="1">
                  <c:v>Lenovo</c:v>
                </c:pt>
                <c:pt idx="2">
                  <c:v>LG</c:v>
                </c:pt>
              </c:strCache>
            </c:strRef>
          </c:cat>
          <c:val>
            <c:numRef>
              <c:f>Sheet7!$F$5:$F$8</c:f>
              <c:numCache>
                <c:formatCode>General</c:formatCode>
                <c:ptCount val="3"/>
                <c:pt idx="0">
                  <c:v>48000</c:v>
                </c:pt>
                <c:pt idx="1">
                  <c:v>60000</c:v>
                </c:pt>
                <c:pt idx="2">
                  <c:v>22500</c:v>
                </c:pt>
              </c:numCache>
            </c:numRef>
          </c:val>
          <c:extLst>
            <c:ext xmlns:c16="http://schemas.microsoft.com/office/drawing/2014/chart" uri="{C3380CC4-5D6E-409C-BE32-E72D297353CC}">
              <c16:uniqueId val="{00000000-BE05-448B-8E48-DB1382322476}"/>
            </c:ext>
          </c:extLst>
        </c:ser>
        <c:dLbls>
          <c:showLegendKey val="0"/>
          <c:showVal val="0"/>
          <c:showCatName val="0"/>
          <c:showSerName val="0"/>
          <c:showPercent val="0"/>
          <c:showBubbleSize val="0"/>
        </c:dLbls>
        <c:gapWidth val="182"/>
        <c:shape val="box"/>
        <c:axId val="874400384"/>
        <c:axId val="544556016"/>
        <c:axId val="0"/>
      </c:bar3DChart>
      <c:catAx>
        <c:axId val="87440038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800" b="0" i="0" u="none" strike="noStrike" kern="1200" baseline="0">
                <a:solidFill>
                  <a:schemeClr val="bg1"/>
                </a:solidFill>
                <a:latin typeface="+mn-lt"/>
                <a:ea typeface="+mn-ea"/>
                <a:cs typeface="+mn-cs"/>
              </a:defRPr>
            </a:pPr>
            <a:endParaRPr lang="pt-BR"/>
          </a:p>
        </c:txPr>
        <c:crossAx val="544556016"/>
        <c:crosses val="autoZero"/>
        <c:auto val="1"/>
        <c:lblAlgn val="ctr"/>
        <c:lblOffset val="100"/>
        <c:noMultiLvlLbl val="0"/>
      </c:catAx>
      <c:valAx>
        <c:axId val="544556016"/>
        <c:scaling>
          <c:orientation val="minMax"/>
        </c:scaling>
        <c:delete val="1"/>
        <c:axPos val="b"/>
        <c:numFmt formatCode="General" sourceLinked="1"/>
        <c:majorTickMark val="none"/>
        <c:minorTickMark val="none"/>
        <c:tickLblPos val="nextTo"/>
        <c:crossAx val="87440038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pt-BR"/>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0"/>
  <mc:AlternateContent xmlns:mc="http://schemas.openxmlformats.org/markup-compatibility/2006">
    <mc:Choice xmlns:c14="http://schemas.microsoft.com/office/drawing/2007/8/2/chart" Requires="c14">
      <c14:style val="106"/>
    </mc:Choice>
    <mc:Fallback>
      <c:style val="6"/>
    </mc:Fallback>
  </mc:AlternateContent>
  <c:pivotSource>
    <c:name>[PROJETO - DASHBOARD.xlsx]Sheet7!PivotTable22</c:name>
    <c:fmtId val="72"/>
  </c:pivotSource>
  <c:chart>
    <c:autoTitleDeleted val="1"/>
    <c:pivotFmts>
      <c:pivotFmt>
        <c:idx val="0"/>
        <c:spPr>
          <a:solidFill>
            <a:schemeClr val="accent4"/>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BR"/>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4"/>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BR"/>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4"/>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BR"/>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4"/>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BR"/>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4"/>
          </a:solidFill>
          <a:ln w="19050">
            <a:solidFill>
              <a:schemeClr val="lt1"/>
            </a:solidFill>
          </a:ln>
          <a:effectLst/>
        </c:spPr>
      </c:pivotFmt>
      <c:pivotFmt>
        <c:idx val="5"/>
        <c:spPr>
          <a:solidFill>
            <a:schemeClr val="accent4"/>
          </a:solidFill>
          <a:ln w="19050">
            <a:solidFill>
              <a:schemeClr val="lt1"/>
            </a:solidFill>
          </a:ln>
          <a:effectLst/>
        </c:spPr>
      </c:pivotFmt>
      <c:pivotFmt>
        <c:idx val="6"/>
        <c:spPr>
          <a:solidFill>
            <a:schemeClr val="accent4"/>
          </a:solidFill>
          <a:ln w="19050">
            <a:solidFill>
              <a:schemeClr val="lt1"/>
            </a:solidFill>
          </a:ln>
          <a:effectLst/>
        </c:spPr>
      </c:pivotFmt>
      <c:pivotFmt>
        <c:idx val="7"/>
        <c:spPr>
          <a:solidFill>
            <a:schemeClr val="accent4"/>
          </a:solidFill>
          <a:ln w="19050">
            <a:solidFill>
              <a:schemeClr val="lt1"/>
            </a:solidFill>
          </a:ln>
          <a:effectLst/>
        </c:spPr>
      </c:pivotFmt>
      <c:pivotFmt>
        <c:idx val="8"/>
        <c:spPr>
          <a:solidFill>
            <a:schemeClr val="accent4"/>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BR"/>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4"/>
          </a:solidFill>
          <a:ln w="19050">
            <a:solidFill>
              <a:schemeClr val="lt1"/>
            </a:solidFill>
          </a:ln>
          <a:effectLst/>
        </c:spPr>
      </c:pivotFmt>
      <c:pivotFmt>
        <c:idx val="10"/>
        <c:spPr>
          <a:solidFill>
            <a:schemeClr val="accent4"/>
          </a:solidFill>
          <a:ln w="19050">
            <a:solidFill>
              <a:schemeClr val="lt1"/>
            </a:solidFill>
          </a:ln>
          <a:effectLst/>
        </c:spPr>
      </c:pivotFmt>
      <c:pivotFmt>
        <c:idx val="11"/>
        <c:spPr>
          <a:solidFill>
            <a:schemeClr val="accent4"/>
          </a:solidFill>
          <a:ln w="19050">
            <a:solidFill>
              <a:schemeClr val="lt1"/>
            </a:solidFill>
          </a:ln>
          <a:effectLst/>
        </c:spPr>
      </c:pivotFmt>
      <c:pivotFmt>
        <c:idx val="12"/>
        <c:spPr>
          <a:solidFill>
            <a:schemeClr val="accent4"/>
          </a:solidFill>
          <a:ln w="19050">
            <a:solidFill>
              <a:schemeClr val="lt1"/>
            </a:solidFill>
          </a:ln>
          <a:effectLst/>
        </c:spPr>
      </c:pivotFmt>
      <c:pivotFmt>
        <c:idx val="13"/>
        <c:spPr>
          <a:solidFill>
            <a:schemeClr val="accent4"/>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BR"/>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4"/>
          </a:solidFill>
          <a:ln w="19050">
            <a:solidFill>
              <a:schemeClr val="lt1"/>
            </a:solidFill>
          </a:ln>
          <a:effectLst/>
        </c:spPr>
      </c:pivotFmt>
      <c:pivotFmt>
        <c:idx val="15"/>
        <c:spPr>
          <a:solidFill>
            <a:schemeClr val="accent4"/>
          </a:solidFill>
          <a:ln w="19050">
            <a:solidFill>
              <a:schemeClr val="lt1"/>
            </a:solidFill>
          </a:ln>
          <a:effectLst/>
        </c:spPr>
      </c:pivotFmt>
      <c:pivotFmt>
        <c:idx val="16"/>
        <c:spPr>
          <a:solidFill>
            <a:schemeClr val="accent4"/>
          </a:solidFill>
          <a:ln w="19050">
            <a:solidFill>
              <a:schemeClr val="lt1"/>
            </a:solidFill>
          </a:ln>
          <a:effectLst/>
        </c:spPr>
      </c:pivotFmt>
      <c:pivotFmt>
        <c:idx val="17"/>
        <c:spPr>
          <a:solidFill>
            <a:schemeClr val="accent4"/>
          </a:solidFill>
          <a:ln w="19050">
            <a:solidFill>
              <a:schemeClr val="lt1"/>
            </a:solidFill>
          </a:ln>
          <a:effectLst/>
        </c:spPr>
      </c:pivotFmt>
      <c:pivotFmt>
        <c:idx val="18"/>
        <c:spPr>
          <a:solidFill>
            <a:schemeClr val="accent4"/>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BR"/>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4"/>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BR"/>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4"/>
          </a:solidFill>
          <a:ln w="19050">
            <a:solidFill>
              <a:schemeClr val="lt1"/>
            </a:solidFill>
          </a:ln>
          <a:effectLst/>
        </c:spPr>
      </c:pivotFmt>
      <c:pivotFmt>
        <c:idx val="21"/>
        <c:spPr>
          <a:solidFill>
            <a:schemeClr val="accent4">
              <a:lumMod val="60000"/>
              <a:lumOff val="40000"/>
            </a:schemeClr>
          </a:solidFill>
          <a:ln w="19050">
            <a:solidFill>
              <a:schemeClr val="lt1"/>
            </a:solidFill>
          </a:ln>
          <a:effectLst/>
        </c:spPr>
      </c:pivotFmt>
      <c:pivotFmt>
        <c:idx val="22"/>
        <c:spPr>
          <a:solidFill>
            <a:schemeClr val="accent4">
              <a:shade val="65000"/>
            </a:schemeClr>
          </a:solidFill>
          <a:ln w="19050">
            <a:solidFill>
              <a:schemeClr val="lt1"/>
            </a:solidFill>
          </a:ln>
          <a:effectLst/>
        </c:spPr>
      </c:pivotFmt>
      <c:pivotFmt>
        <c:idx val="23"/>
        <c:spPr>
          <a:solidFill>
            <a:schemeClr val="accent4"/>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4"/>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s>
    <c:plotArea>
      <c:layout/>
      <c:pieChart>
        <c:varyColors val="1"/>
        <c:ser>
          <c:idx val="0"/>
          <c:order val="0"/>
          <c:tx>
            <c:strRef>
              <c:f>Sheet7!$L$2:$L$3</c:f>
              <c:strCache>
                <c:ptCount val="1"/>
                <c:pt idx="0">
                  <c:v>Nordeste</c:v>
                </c:pt>
              </c:strCache>
            </c:strRef>
          </c:tx>
          <c:dPt>
            <c:idx val="0"/>
            <c:bubble3D val="0"/>
            <c:spPr>
              <a:solidFill>
                <a:schemeClr val="accent4">
                  <a:lumMod val="60000"/>
                  <a:lumOff val="40000"/>
                </a:schemeClr>
              </a:solidFill>
              <a:ln w="19050">
                <a:solidFill>
                  <a:schemeClr val="lt1"/>
                </a:solidFill>
              </a:ln>
              <a:effectLst/>
            </c:spPr>
            <c:extLst>
              <c:ext xmlns:c16="http://schemas.microsoft.com/office/drawing/2014/chart" uri="{C3380CC4-5D6E-409C-BE32-E72D297353CC}">
                <c16:uniqueId val="{00000001-1F18-454D-9BB6-1283B1A80CD0}"/>
              </c:ext>
            </c:extLst>
          </c:dPt>
          <c:dPt>
            <c:idx val="1"/>
            <c:bubble3D val="0"/>
            <c:spPr>
              <a:solidFill>
                <a:schemeClr val="accent4"/>
              </a:solidFill>
              <a:ln w="19050">
                <a:solidFill>
                  <a:schemeClr val="lt1"/>
                </a:solidFill>
              </a:ln>
              <a:effectLst/>
            </c:spPr>
            <c:extLst>
              <c:ext xmlns:c16="http://schemas.microsoft.com/office/drawing/2014/chart" uri="{C3380CC4-5D6E-409C-BE32-E72D297353CC}">
                <c16:uniqueId val="{00000003-1F18-454D-9BB6-1283B1A80CD0}"/>
              </c:ext>
            </c:extLst>
          </c:dPt>
          <c:dPt>
            <c:idx val="2"/>
            <c:bubble3D val="0"/>
            <c:spPr>
              <a:solidFill>
                <a:schemeClr val="accent4">
                  <a:shade val="65000"/>
                </a:schemeClr>
              </a:solidFill>
              <a:ln w="19050">
                <a:solidFill>
                  <a:schemeClr val="lt1"/>
                </a:solidFill>
              </a:ln>
              <a:effectLst/>
            </c:spPr>
            <c:extLst>
              <c:ext xmlns:c16="http://schemas.microsoft.com/office/drawing/2014/chart" uri="{C3380CC4-5D6E-409C-BE32-E72D297353CC}">
                <c16:uniqueId val="{00000005-1F18-454D-9BB6-1283B1A80CD0}"/>
              </c:ext>
            </c:extLst>
          </c:dPt>
          <c:dPt>
            <c:idx val="3"/>
            <c:bubble3D val="0"/>
            <c:spPr>
              <a:solidFill>
                <a:schemeClr val="accent4">
                  <a:shade val="65000"/>
                </a:schemeClr>
              </a:solidFill>
              <a:ln w="19050">
                <a:solidFill>
                  <a:schemeClr val="lt1"/>
                </a:solidFill>
              </a:ln>
              <a:effectLst/>
            </c:spPr>
            <c:extLst>
              <c:ext xmlns:c16="http://schemas.microsoft.com/office/drawing/2014/chart" uri="{C3380CC4-5D6E-409C-BE32-E72D297353CC}">
                <c16:uniqueId val="{00000007-1F18-454D-9BB6-1283B1A80CD0}"/>
              </c:ext>
            </c:extLst>
          </c:dPt>
          <c:cat>
            <c:strRef>
              <c:f>Sheet7!$K$4:$K$6</c:f>
              <c:strCache>
                <c:ptCount val="3"/>
                <c:pt idx="0">
                  <c:v>Dell</c:v>
                </c:pt>
                <c:pt idx="1">
                  <c:v>Lenovo</c:v>
                </c:pt>
                <c:pt idx="2">
                  <c:v>LG</c:v>
                </c:pt>
              </c:strCache>
            </c:strRef>
          </c:cat>
          <c:val>
            <c:numRef>
              <c:f>Sheet7!$L$4:$L$6</c:f>
              <c:numCache>
                <c:formatCode>General</c:formatCode>
                <c:ptCount val="3"/>
                <c:pt idx="0">
                  <c:v>12</c:v>
                </c:pt>
                <c:pt idx="1">
                  <c:v>15</c:v>
                </c:pt>
                <c:pt idx="2">
                  <c:v>25</c:v>
                </c:pt>
              </c:numCache>
            </c:numRef>
          </c:val>
          <c:extLst>
            <c:ext xmlns:c16="http://schemas.microsoft.com/office/drawing/2014/chart" uri="{C3380CC4-5D6E-409C-BE32-E72D297353CC}">
              <c16:uniqueId val="{00000008-1F18-454D-9BB6-1283B1A80CD0}"/>
            </c:ext>
          </c:extLst>
        </c:ser>
        <c:dLbls>
          <c:showLegendKey val="0"/>
          <c:showVal val="0"/>
          <c:showCatName val="0"/>
          <c:showSerName val="0"/>
          <c:showPercent val="0"/>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pt-BR"/>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0"/>
  <mc:AlternateContent xmlns:mc="http://schemas.openxmlformats.org/markup-compatibility/2006">
    <mc:Choice xmlns:c14="http://schemas.microsoft.com/office/drawing/2007/8/2/chart" Requires="c14">
      <c14:style val="106"/>
    </mc:Choice>
    <mc:Fallback>
      <c:style val="6"/>
    </mc:Fallback>
  </mc:AlternateContent>
  <c:pivotSource>
    <c:name>[PROJETO - DASHBOARD.xlsx]Sheet7!PivotTable23</c:name>
    <c:fmtId val="76"/>
  </c:pivotSource>
  <c:chart>
    <c:autoTitleDeleted val="1"/>
    <c:pivotFmts>
      <c:pivotFmt>
        <c:idx val="0"/>
        <c:spPr>
          <a:solidFill>
            <a:schemeClr val="accent4"/>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BR"/>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4"/>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BR"/>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4"/>
          </a:solidFill>
          <a:ln w="19050">
            <a:solidFill>
              <a:schemeClr val="lt1"/>
            </a:solidFill>
          </a:ln>
          <a:effectLst/>
        </c:spPr>
      </c:pivotFmt>
      <c:pivotFmt>
        <c:idx val="3"/>
        <c:spPr>
          <a:solidFill>
            <a:schemeClr val="accent4"/>
          </a:solidFill>
          <a:ln w="19050">
            <a:solidFill>
              <a:schemeClr val="lt1"/>
            </a:solidFill>
          </a:ln>
          <a:effectLst/>
        </c:spPr>
      </c:pivotFmt>
      <c:pivotFmt>
        <c:idx val="4"/>
        <c:spPr>
          <a:solidFill>
            <a:schemeClr val="accent4"/>
          </a:solidFill>
          <a:ln w="19050">
            <a:solidFill>
              <a:schemeClr val="lt1"/>
            </a:solidFill>
          </a:ln>
          <a:effectLst/>
        </c:spPr>
      </c:pivotFmt>
      <c:pivotFmt>
        <c:idx val="5"/>
        <c:spPr>
          <a:solidFill>
            <a:schemeClr val="accent4"/>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BR"/>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4">
              <a:shade val="65000"/>
            </a:schemeClr>
          </a:solidFill>
          <a:ln w="19050">
            <a:solidFill>
              <a:schemeClr val="lt1"/>
            </a:solidFill>
          </a:ln>
          <a:effectLst/>
        </c:spPr>
      </c:pivotFmt>
      <c:pivotFmt>
        <c:idx val="7"/>
        <c:spPr>
          <a:solidFill>
            <a:schemeClr val="accent4"/>
          </a:solidFill>
          <a:ln w="19050">
            <a:solidFill>
              <a:schemeClr val="lt1"/>
            </a:solidFill>
          </a:ln>
          <a:effectLst/>
        </c:spPr>
      </c:pivotFmt>
      <c:pivotFmt>
        <c:idx val="8"/>
        <c:spPr>
          <a:solidFill>
            <a:schemeClr val="accent4">
              <a:tint val="65000"/>
            </a:schemeClr>
          </a:solidFill>
          <a:ln w="19050">
            <a:solidFill>
              <a:schemeClr val="lt1"/>
            </a:solidFill>
          </a:ln>
          <a:effectLst/>
        </c:spPr>
      </c:pivotFmt>
      <c:pivotFmt>
        <c:idx val="9"/>
        <c:spPr>
          <a:solidFill>
            <a:schemeClr val="accent4"/>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BR"/>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4"/>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BR"/>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4"/>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BR"/>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4"/>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BR"/>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4"/>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BR"/>
            </a:p>
          </c:txPr>
          <c:showLegendKey val="0"/>
          <c:showVal val="0"/>
          <c:showCatName val="0"/>
          <c:showSerName val="0"/>
          <c:showPercent val="0"/>
          <c:showBubbleSize val="0"/>
          <c:extLst>
            <c:ext xmlns:c15="http://schemas.microsoft.com/office/drawing/2012/chart" uri="{CE6537A1-D6FC-4f65-9D91-7224C49458BB}"/>
          </c:extLst>
        </c:dLbl>
      </c:pivotFmt>
      <c:pivotFmt>
        <c:idx val="14"/>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BR"/>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4"/>
          </a:solidFill>
          <a:ln w="19050">
            <a:solidFill>
              <a:schemeClr val="lt1"/>
            </a:solidFill>
          </a:ln>
          <a:effectLst/>
        </c:spPr>
        <c:marker>
          <c:symbol val="none"/>
        </c:marker>
      </c:pivotFmt>
      <c:pivotFmt>
        <c:idx val="16"/>
        <c:spPr>
          <a:solidFill>
            <a:schemeClr val="accent4"/>
          </a:solidFill>
          <a:ln w="19050">
            <a:solidFill>
              <a:schemeClr val="lt1"/>
            </a:solidFill>
          </a:ln>
          <a:effectLst/>
        </c:spPr>
        <c:marker>
          <c:symbol val="none"/>
        </c:marker>
      </c:pivotFmt>
      <c:pivotFmt>
        <c:idx val="17"/>
        <c:spPr>
          <a:solidFill>
            <a:schemeClr val="accent4"/>
          </a:solidFill>
          <a:ln w="19050">
            <a:solidFill>
              <a:schemeClr val="lt1"/>
            </a:solidFill>
          </a:ln>
          <a:effectLst/>
        </c:spPr>
        <c:marker>
          <c:symbol val="none"/>
        </c:marker>
      </c:pivotFmt>
      <c:pivotFmt>
        <c:idx val="18"/>
        <c:spPr>
          <a:solidFill>
            <a:schemeClr val="accent4"/>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BR"/>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9416608836879721"/>
          <c:y val="0.11851859393001549"/>
          <c:w val="0.41166782326240559"/>
          <c:h val="0.76296281213996897"/>
        </c:manualLayout>
      </c:layout>
      <c:doughnutChart>
        <c:varyColors val="1"/>
        <c:ser>
          <c:idx val="0"/>
          <c:order val="0"/>
          <c:tx>
            <c:strRef>
              <c:f>Sheet7!$R$5</c:f>
              <c:strCache>
                <c:ptCount val="1"/>
                <c:pt idx="0">
                  <c:v>Total</c:v>
                </c:pt>
              </c:strCache>
            </c:strRef>
          </c:tx>
          <c:dPt>
            <c:idx val="0"/>
            <c:bubble3D val="0"/>
            <c:spPr>
              <a:solidFill>
                <a:schemeClr val="accent4">
                  <a:shade val="65000"/>
                </a:schemeClr>
              </a:solidFill>
              <a:ln w="19050">
                <a:solidFill>
                  <a:schemeClr val="lt1"/>
                </a:solidFill>
              </a:ln>
              <a:effectLst/>
            </c:spPr>
          </c:dPt>
          <c:dPt>
            <c:idx val="1"/>
            <c:bubble3D val="0"/>
            <c:spPr>
              <a:solidFill>
                <a:schemeClr val="accent4"/>
              </a:solidFill>
              <a:ln w="19050">
                <a:solidFill>
                  <a:schemeClr val="lt1"/>
                </a:solidFill>
              </a:ln>
              <a:effectLst/>
            </c:spPr>
          </c:dPt>
          <c:dPt>
            <c:idx val="2"/>
            <c:bubble3D val="0"/>
            <c:spPr>
              <a:solidFill>
                <a:schemeClr val="accent4">
                  <a:tint val="65000"/>
                </a:schemeClr>
              </a:solidFill>
              <a:ln w="19050">
                <a:solidFill>
                  <a:schemeClr val="lt1"/>
                </a:solidFill>
              </a:ln>
              <a:effectLst/>
            </c:spPr>
          </c:dPt>
          <c:cat>
            <c:strRef>
              <c:f>Sheet7!$Q$6:$Q$8</c:f>
              <c:strCache>
                <c:ptCount val="3"/>
                <c:pt idx="0">
                  <c:v>Dell</c:v>
                </c:pt>
                <c:pt idx="1">
                  <c:v>Lenovo</c:v>
                </c:pt>
                <c:pt idx="2">
                  <c:v>LG</c:v>
                </c:pt>
              </c:strCache>
            </c:strRef>
          </c:cat>
          <c:val>
            <c:numRef>
              <c:f>Sheet7!$R$6:$R$8</c:f>
              <c:numCache>
                <c:formatCode>General</c:formatCode>
                <c:ptCount val="3"/>
                <c:pt idx="0">
                  <c:v>48000</c:v>
                </c:pt>
                <c:pt idx="1">
                  <c:v>60000</c:v>
                </c:pt>
                <c:pt idx="2">
                  <c:v>22500</c:v>
                </c:pt>
              </c:numCache>
            </c:numRef>
          </c:val>
          <c:extLst>
            <c:ext xmlns:c16="http://schemas.microsoft.com/office/drawing/2014/chart" uri="{C3380CC4-5D6E-409C-BE32-E72D297353CC}">
              <c16:uniqueId val="{0000000B-6F1B-4BB6-B47C-591D29BDB993}"/>
            </c:ext>
          </c:extLst>
        </c:ser>
        <c:dLbls>
          <c:showLegendKey val="0"/>
          <c:showVal val="0"/>
          <c:showCatName val="0"/>
          <c:showSerName val="0"/>
          <c:showPercent val="0"/>
          <c:showBubbleSize val="0"/>
          <c:showLeaderLines val="1"/>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pt-BR"/>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0"/>
  <mc:AlternateContent xmlns:mc="http://schemas.openxmlformats.org/markup-compatibility/2006">
    <mc:Choice xmlns:c14="http://schemas.microsoft.com/office/drawing/2007/8/2/chart" Requires="c14">
      <c14:style val="106"/>
    </mc:Choice>
    <mc:Fallback>
      <c:style val="6"/>
    </mc:Fallback>
  </mc:AlternateContent>
  <c:pivotSource>
    <c:name>[PROJETO - DASHBOARD.xlsx]Sheet7!PivotTable23</c:name>
    <c:fmtId val="87"/>
  </c:pivotSource>
  <c:chart>
    <c:autoTitleDeleted val="1"/>
    <c:pivotFmts>
      <c:pivotFmt>
        <c:idx val="0"/>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BR"/>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BR"/>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4"/>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BR"/>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4"/>
          </a:solidFill>
          <a:ln w="25400">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BR"/>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4"/>
          </a:solidFill>
          <a:ln w="25400">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BR"/>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4"/>
          </a:solidFill>
          <a:ln w="25400">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BR"/>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4"/>
          </a:solidFill>
          <a:ln w="25400">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BR"/>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4"/>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BR"/>
            </a:p>
          </c:txPr>
          <c:showLegendKey val="0"/>
          <c:showVal val="0"/>
          <c:showCatName val="0"/>
          <c:showSerName val="0"/>
          <c:showPercent val="0"/>
          <c:showBubbleSize val="0"/>
          <c:extLst>
            <c:ext xmlns:c15="http://schemas.microsoft.com/office/drawing/2012/chart" uri="{CE6537A1-D6FC-4f65-9D91-7224C49458BB}"/>
          </c:extLst>
        </c:dLbl>
      </c:pivotFmt>
      <c:pivotFmt>
        <c:idx val="8"/>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BR"/>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4"/>
          </a:solidFill>
          <a:ln>
            <a:noFill/>
          </a:ln>
          <a:effectLst/>
          <a:sp3d/>
        </c:spPr>
        <c:marker>
          <c:symbol val="none"/>
        </c:marker>
      </c:pivotFmt>
      <c:pivotFmt>
        <c:idx val="10"/>
        <c:spPr>
          <a:solidFill>
            <a:schemeClr val="accent4"/>
          </a:solidFill>
          <a:ln>
            <a:noFill/>
          </a:ln>
          <a:effectLst/>
          <a:sp3d/>
        </c:spPr>
        <c:marker>
          <c:symbol val="none"/>
        </c:marker>
      </c:pivotFmt>
      <c:pivotFmt>
        <c:idx val="11"/>
        <c:spPr>
          <a:solidFill>
            <a:schemeClr val="accent4"/>
          </a:solidFill>
          <a:ln>
            <a:noFill/>
          </a:ln>
          <a:effectLst/>
          <a:sp3d/>
        </c:spPr>
        <c:marker>
          <c:symbol val="none"/>
        </c:marker>
      </c:pivotFmt>
      <c:pivotFmt>
        <c:idx val="12"/>
        <c:spPr>
          <a:solidFill>
            <a:schemeClr val="accent4"/>
          </a:solidFill>
          <a:ln w="25400">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BR"/>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rAngAx val="0"/>
    </c:view3D>
    <c:floor>
      <c:thickness val="0"/>
      <c:spPr>
        <a:noFill/>
        <a:ln w="9525" cap="flat" cmpd="sng" algn="ctr">
          <a:solidFill>
            <a:schemeClr val="tx1">
              <a:lumMod val="15000"/>
              <a:lumOff val="85000"/>
            </a:schemeClr>
          </a:solidFill>
          <a:round/>
        </a:ln>
        <a:effectLst/>
        <a:sp3d contourW="9525">
          <a:contourClr>
            <a:schemeClr val="tx1">
              <a:lumMod val="15000"/>
              <a:lumOff val="85000"/>
            </a:schemeClr>
          </a:contourClr>
        </a:sp3d>
      </c:spPr>
    </c:floor>
    <c:sideWall>
      <c:thickness val="0"/>
      <c:spPr>
        <a:noFill/>
        <a:ln w="25400">
          <a:noFill/>
        </a:ln>
        <a:effectLst/>
        <a:sp3d/>
      </c:spPr>
    </c:sideWall>
    <c:backWall>
      <c:thickness val="0"/>
      <c:spPr>
        <a:noFill/>
        <a:ln w="25400">
          <a:noFill/>
        </a:ln>
        <a:effectLst/>
        <a:sp3d/>
      </c:spPr>
    </c:backWall>
    <c:plotArea>
      <c:layout/>
      <c:area3DChart>
        <c:grouping val="standard"/>
        <c:varyColors val="0"/>
        <c:ser>
          <c:idx val="0"/>
          <c:order val="0"/>
          <c:tx>
            <c:strRef>
              <c:f>Sheet7!$R$5</c:f>
              <c:strCache>
                <c:ptCount val="1"/>
                <c:pt idx="0">
                  <c:v>Total</c:v>
                </c:pt>
              </c:strCache>
            </c:strRef>
          </c:tx>
          <c:spPr>
            <a:solidFill>
              <a:schemeClr val="accent4"/>
            </a:solidFill>
            <a:ln w="25400">
              <a:noFill/>
            </a:ln>
            <a:effectLst/>
            <a:sp3d/>
          </c:spPr>
          <c:cat>
            <c:strRef>
              <c:f>Sheet7!$Q$6:$Q$8</c:f>
              <c:strCache>
                <c:ptCount val="3"/>
                <c:pt idx="0">
                  <c:v>Dell</c:v>
                </c:pt>
                <c:pt idx="1">
                  <c:v>Lenovo</c:v>
                </c:pt>
                <c:pt idx="2">
                  <c:v>LG</c:v>
                </c:pt>
              </c:strCache>
            </c:strRef>
          </c:cat>
          <c:val>
            <c:numRef>
              <c:f>Sheet7!$R$6:$R$8</c:f>
              <c:numCache>
                <c:formatCode>General</c:formatCode>
                <c:ptCount val="3"/>
                <c:pt idx="0">
                  <c:v>48000</c:v>
                </c:pt>
                <c:pt idx="1">
                  <c:v>60000</c:v>
                </c:pt>
                <c:pt idx="2">
                  <c:v>22500</c:v>
                </c:pt>
              </c:numCache>
            </c:numRef>
          </c:val>
          <c:extLst>
            <c:ext xmlns:c16="http://schemas.microsoft.com/office/drawing/2014/chart" uri="{C3380CC4-5D6E-409C-BE32-E72D297353CC}">
              <c16:uniqueId val="{00000005-1E7E-4343-A33C-BA0F41C288C3}"/>
            </c:ext>
          </c:extLst>
        </c:ser>
        <c:dLbls>
          <c:showLegendKey val="0"/>
          <c:showVal val="0"/>
          <c:showCatName val="0"/>
          <c:showSerName val="0"/>
          <c:showPercent val="0"/>
          <c:showBubbleSize val="0"/>
        </c:dLbls>
        <c:axId val="818721263"/>
        <c:axId val="454752815"/>
        <c:axId val="554541167"/>
      </c:area3DChart>
      <c:catAx>
        <c:axId val="818721263"/>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1" i="0" u="none" strike="noStrike" kern="1200" baseline="0">
                <a:solidFill>
                  <a:schemeClr val="bg1"/>
                </a:solidFill>
                <a:latin typeface="Arial" panose="020B0604020202020204" pitchFamily="34" charset="0"/>
                <a:ea typeface="+mn-ea"/>
                <a:cs typeface="Arial" panose="020B0604020202020204" pitchFamily="34" charset="0"/>
              </a:defRPr>
            </a:pPr>
            <a:endParaRPr lang="pt-BR"/>
          </a:p>
        </c:txPr>
        <c:crossAx val="454752815"/>
        <c:crosses val="autoZero"/>
        <c:auto val="1"/>
        <c:lblAlgn val="ctr"/>
        <c:lblOffset val="100"/>
        <c:noMultiLvlLbl val="0"/>
      </c:catAx>
      <c:valAx>
        <c:axId val="454752815"/>
        <c:scaling>
          <c:orientation val="minMax"/>
        </c:scaling>
        <c:delete val="1"/>
        <c:axPos val="l"/>
        <c:numFmt formatCode="General" sourceLinked="1"/>
        <c:majorTickMark val="none"/>
        <c:minorTickMark val="none"/>
        <c:tickLblPos val="nextTo"/>
        <c:crossAx val="818721263"/>
        <c:crosses val="autoZero"/>
        <c:crossBetween val="midCat"/>
      </c:valAx>
      <c:serAx>
        <c:axId val="554541167"/>
        <c:scaling>
          <c:orientation val="minMax"/>
        </c:scaling>
        <c:delete val="1"/>
        <c:axPos val="b"/>
        <c:majorTickMark val="out"/>
        <c:minorTickMark val="none"/>
        <c:tickLblPos val="nextTo"/>
        <c:crossAx val="454752815"/>
        <c:crosses val="autoZero"/>
      </c:serAx>
      <c:spPr>
        <a:noFill/>
        <a:ln w="25400">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pt-BR"/>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Reversed" id="24">
  <a:schemeClr val="accent4"/>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withinLinearReversed" id="24">
  <a:schemeClr val="accent4"/>
</cs:colorStyle>
</file>

<file path=xl/charts/colors4.xml><?xml version="1.0" encoding="utf-8"?>
<cs:colorStyle xmlns:cs="http://schemas.microsoft.com/office/drawing/2012/chartStyle" xmlns:a="http://schemas.openxmlformats.org/drawingml/2006/main" meth="withinLinearReversed" id="24">
  <a:schemeClr val="accent4"/>
</cs:colorStyle>
</file>

<file path=xl/charts/colors5.xml><?xml version="1.0" encoding="utf-8"?>
<cs:colorStyle xmlns:cs="http://schemas.microsoft.com/office/drawing/2012/chartStyle" xmlns:a="http://schemas.openxmlformats.org/drawingml/2006/main" meth="withinLinear" id="17">
  <a:schemeClr val="accent4"/>
</cs:colorStyle>
</file>

<file path=xl/charts/colors6.xml><?xml version="1.0" encoding="utf-8"?>
<cs:colorStyle xmlns:cs="http://schemas.microsoft.com/office/drawing/2012/chartStyle" xmlns:a="http://schemas.openxmlformats.org/drawingml/2006/main" meth="withinLinearReversed" id="24">
  <a:schemeClr val="accent4"/>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3" Type="http://schemas.openxmlformats.org/officeDocument/2006/relationships/chart" Target="../charts/chart4.xml"/><Relationship Id="rId2" Type="http://schemas.openxmlformats.org/officeDocument/2006/relationships/chart" Target="../charts/chart3.xml"/><Relationship Id="rId1" Type="http://schemas.openxmlformats.org/officeDocument/2006/relationships/chart" Target="../charts/chart2.xml"/><Relationship Id="rId6" Type="http://schemas.openxmlformats.org/officeDocument/2006/relationships/chart" Target="../charts/chart7.xml"/><Relationship Id="rId5" Type="http://schemas.openxmlformats.org/officeDocument/2006/relationships/chart" Target="../charts/chart6.xml"/><Relationship Id="rId4"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dr:twoCellAnchor editAs="oneCell">
    <xdr:from>
      <xdr:col>0</xdr:col>
      <xdr:colOff>714375</xdr:colOff>
      <xdr:row>12</xdr:row>
      <xdr:rowOff>66676</xdr:rowOff>
    </xdr:from>
    <xdr:to>
      <xdr:col>2</xdr:col>
      <xdr:colOff>57150</xdr:colOff>
      <xdr:row>17</xdr:row>
      <xdr:rowOff>104775</xdr:rowOff>
    </xdr:to>
    <mc:AlternateContent xmlns:mc="http://schemas.openxmlformats.org/markup-compatibility/2006" xmlns:a14="http://schemas.microsoft.com/office/drawing/2010/main">
      <mc:Choice Requires="a14">
        <xdr:graphicFrame macro="">
          <xdr:nvGraphicFramePr>
            <xdr:cNvPr id="2" name="Região">
              <a:extLst>
                <a:ext uri="{FF2B5EF4-FFF2-40B4-BE49-F238E27FC236}">
                  <a16:creationId xmlns:a16="http://schemas.microsoft.com/office/drawing/2014/main" id="{816041B0-F28B-85F9-D4AC-D8ECDA77E780}"/>
                </a:ext>
              </a:extLst>
            </xdr:cNvPr>
            <xdr:cNvGraphicFramePr/>
          </xdr:nvGraphicFramePr>
          <xdr:xfrm>
            <a:off x="0" y="0"/>
            <a:ext cx="0" cy="0"/>
          </xdr:xfrm>
          <a:graphic>
            <a:graphicData uri="http://schemas.microsoft.com/office/drawing/2010/slicer">
              <sle:slicer xmlns:sle="http://schemas.microsoft.com/office/drawing/2010/slicer" name="Região"/>
            </a:graphicData>
          </a:graphic>
        </xdr:graphicFrame>
      </mc:Choice>
      <mc:Fallback xmlns="">
        <xdr:sp macro="" textlink="">
          <xdr:nvSpPr>
            <xdr:cNvPr id="0" name=""/>
            <xdr:cNvSpPr>
              <a:spLocks noTextEdit="1"/>
            </xdr:cNvSpPr>
          </xdr:nvSpPr>
          <xdr:spPr>
            <a:xfrm>
              <a:off x="714375" y="2352676"/>
              <a:ext cx="1828800" cy="990599"/>
            </a:xfrm>
            <a:prstGeom prst="rect">
              <a:avLst/>
            </a:prstGeom>
            <a:solidFill>
              <a:prstClr val="white"/>
            </a:solidFill>
            <a:ln w="1">
              <a:solidFill>
                <a:prstClr val="green"/>
              </a:solidFill>
            </a:ln>
          </xdr:spPr>
          <xdr:txBody>
            <a:bodyPr vertOverflow="clip" horzOverflow="clip"/>
            <a:lstStyle/>
            <a:p>
              <a:r>
                <a:rPr lang="pt-BR"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oneCellAnchor>
    <xdr:from>
      <xdr:col>9</xdr:col>
      <xdr:colOff>371476</xdr:colOff>
      <xdr:row>26</xdr:row>
      <xdr:rowOff>95250</xdr:rowOff>
    </xdr:from>
    <xdr:ext cx="1190624" cy="264560"/>
    <xdr:sp macro="" textlink="$K$22">
      <xdr:nvSpPr>
        <xdr:cNvPr id="3" name="CaixaDeTexto 2">
          <a:extLst>
            <a:ext uri="{FF2B5EF4-FFF2-40B4-BE49-F238E27FC236}">
              <a16:creationId xmlns:a16="http://schemas.microsoft.com/office/drawing/2014/main" id="{EDAF09E4-E0F6-6003-C4A1-6136BFB7F757}"/>
            </a:ext>
          </a:extLst>
        </xdr:cNvPr>
        <xdr:cNvSpPr txBox="1"/>
      </xdr:nvSpPr>
      <xdr:spPr>
        <a:xfrm>
          <a:off x="8420101" y="5086350"/>
          <a:ext cx="1190624"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l"/>
          <a:fld id="{621070EC-F762-4912-830B-C0773B29A6E3}" type="TxLink">
            <a:rPr lang="en-US" sz="1100" b="0" i="0" u="none" strike="noStrike">
              <a:solidFill>
                <a:srgbClr val="000000"/>
              </a:solidFill>
              <a:latin typeface="Calibri"/>
              <a:ea typeface="Calibri"/>
              <a:cs typeface="Calibri"/>
            </a:rPr>
            <a:t> </a:t>
          </a:fld>
          <a:endParaRPr lang="pt-BR" sz="3600" b="1" i="0" u="none" strike="noStrike">
            <a:solidFill>
              <a:schemeClr val="bg1"/>
            </a:solidFill>
            <a:latin typeface="Calibri"/>
            <a:ea typeface="Calibri"/>
            <a:cs typeface="Calibri"/>
          </a:endParaRPr>
        </a:p>
      </xdr:txBody>
    </xdr:sp>
    <xdr:clientData/>
  </xdr:oneCellAnchor>
</xdr:wsDr>
</file>

<file path=xl/drawings/drawing2.xml><?xml version="1.0" encoding="utf-8"?>
<xdr:wsDr xmlns:xdr="http://schemas.openxmlformats.org/drawingml/2006/spreadsheetDrawing" xmlns:a="http://schemas.openxmlformats.org/drawingml/2006/main">
  <xdr:oneCellAnchor>
    <xdr:from>
      <xdr:col>6</xdr:col>
      <xdr:colOff>0</xdr:colOff>
      <xdr:row>1</xdr:row>
      <xdr:rowOff>0</xdr:rowOff>
    </xdr:from>
    <xdr:ext cx="5400000" cy="2700000"/>
    <xdr:graphicFrame macro="">
      <xdr:nvGraphicFramePr>
        <xdr:cNvPr id="2" name="Chart 1">
          <a:extLst>
            <a:ext uri="{FF2B5EF4-FFF2-40B4-BE49-F238E27FC236}">
              <a16:creationId xmlns:a16="http://schemas.microsoft.com/office/drawing/2014/main" id="{00000000-0008-0000-01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wsDr>
</file>

<file path=xl/drawings/drawing3.xml><?xml version="1.0" encoding="utf-8"?>
<xdr:wsDr xmlns:xdr="http://schemas.openxmlformats.org/drawingml/2006/spreadsheetDrawing" xmlns:a="http://schemas.openxmlformats.org/drawingml/2006/main">
  <xdr:twoCellAnchor>
    <xdr:from>
      <xdr:col>0</xdr:col>
      <xdr:colOff>0</xdr:colOff>
      <xdr:row>0</xdr:row>
      <xdr:rowOff>14882</xdr:rowOff>
    </xdr:from>
    <xdr:to>
      <xdr:col>31</xdr:col>
      <xdr:colOff>604040</xdr:colOff>
      <xdr:row>43</xdr:row>
      <xdr:rowOff>47170</xdr:rowOff>
    </xdr:to>
    <xdr:sp macro="" textlink="">
      <xdr:nvSpPr>
        <xdr:cNvPr id="2" name="Rectangle 1">
          <a:extLst>
            <a:ext uri="{FF2B5EF4-FFF2-40B4-BE49-F238E27FC236}">
              <a16:creationId xmlns:a16="http://schemas.microsoft.com/office/drawing/2014/main" id="{B8B37D46-5CCB-7928-B9A8-E703E8925EFB}"/>
            </a:ext>
          </a:extLst>
        </xdr:cNvPr>
        <xdr:cNvSpPr/>
      </xdr:nvSpPr>
      <xdr:spPr>
        <a:xfrm>
          <a:off x="0" y="14882"/>
          <a:ext cx="19520095" cy="8455960"/>
        </a:xfrm>
        <a:prstGeom prst="rect">
          <a:avLst/>
        </a:prstGeom>
        <a:gradFill flip="none" rotWithShape="1">
          <a:gsLst>
            <a:gs pos="0">
              <a:srgbClr val="8149CF"/>
            </a:gs>
            <a:gs pos="50000">
              <a:srgbClr val="6459A2"/>
            </a:gs>
            <a:gs pos="97000">
              <a:srgbClr val="3B2E6B"/>
            </a:gs>
          </a:gsLst>
          <a:path path="rect">
            <a:fillToRect l="100000" t="100000"/>
          </a:path>
          <a:tileRect r="-100000" b="-10000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pt-BR" sz="1100">
            <a:ln>
              <a:noFill/>
            </a:ln>
            <a:solidFill>
              <a:schemeClr val="lt1"/>
            </a:solidFill>
          </a:endParaRPr>
        </a:p>
      </xdr:txBody>
    </xdr:sp>
    <xdr:clientData/>
  </xdr:twoCellAnchor>
  <xdr:twoCellAnchor>
    <xdr:from>
      <xdr:col>0</xdr:col>
      <xdr:colOff>0</xdr:colOff>
      <xdr:row>0</xdr:row>
      <xdr:rowOff>241102</xdr:rowOff>
    </xdr:from>
    <xdr:to>
      <xdr:col>6</xdr:col>
      <xdr:colOff>47625</xdr:colOff>
      <xdr:row>44</xdr:row>
      <xdr:rowOff>72752</xdr:rowOff>
    </xdr:to>
    <xdr:sp macro="" textlink="">
      <xdr:nvSpPr>
        <xdr:cNvPr id="3" name="Rectangle 2">
          <a:extLst>
            <a:ext uri="{FF2B5EF4-FFF2-40B4-BE49-F238E27FC236}">
              <a16:creationId xmlns:a16="http://schemas.microsoft.com/office/drawing/2014/main" id="{9A289327-297B-B72E-790D-E9681408FC89}"/>
            </a:ext>
          </a:extLst>
        </xdr:cNvPr>
        <xdr:cNvSpPr/>
      </xdr:nvSpPr>
      <xdr:spPr>
        <a:xfrm>
          <a:off x="0" y="241102"/>
          <a:ext cx="3708797" cy="8448798"/>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pt-BR" sz="1100">
            <a:solidFill>
              <a:schemeClr val="tx2">
                <a:lumMod val="20000"/>
                <a:lumOff val="80000"/>
              </a:schemeClr>
            </a:solidFill>
          </a:endParaRPr>
        </a:p>
      </xdr:txBody>
    </xdr:sp>
    <xdr:clientData/>
  </xdr:twoCellAnchor>
  <xdr:twoCellAnchor>
    <xdr:from>
      <xdr:col>19</xdr:col>
      <xdr:colOff>289022</xdr:colOff>
      <xdr:row>16</xdr:row>
      <xdr:rowOff>52880</xdr:rowOff>
    </xdr:from>
    <xdr:to>
      <xdr:col>28</xdr:col>
      <xdr:colOff>272311</xdr:colOff>
      <xdr:row>32</xdr:row>
      <xdr:rowOff>30672</xdr:rowOff>
    </xdr:to>
    <xdr:sp macro="" textlink="">
      <xdr:nvSpPr>
        <xdr:cNvPr id="11" name="Rectangle: Rounded Corners 10">
          <a:extLst>
            <a:ext uri="{FF2B5EF4-FFF2-40B4-BE49-F238E27FC236}">
              <a16:creationId xmlns:a16="http://schemas.microsoft.com/office/drawing/2014/main" id="{826A4DA3-7D5F-4BFA-9FC6-768818ADABFA}"/>
            </a:ext>
          </a:extLst>
        </xdr:cNvPr>
        <xdr:cNvSpPr/>
      </xdr:nvSpPr>
      <xdr:spPr>
        <a:xfrm>
          <a:off x="11882733" y="3252685"/>
          <a:ext cx="5475047" cy="3073417"/>
        </a:xfrm>
        <a:prstGeom prst="roundRect">
          <a:avLst/>
        </a:prstGeom>
        <a:solidFill>
          <a:srgbClr val="3B2E6B">
            <a:alpha val="50000"/>
          </a:srgb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nchorCtr="0"/>
        <a:lstStyle/>
        <a:p>
          <a:pPr algn="l"/>
          <a:endParaRPr lang="pt-BR" sz="1100"/>
        </a:p>
      </xdr:txBody>
    </xdr:sp>
    <xdr:clientData/>
  </xdr:twoCellAnchor>
  <xdr:twoCellAnchor>
    <xdr:from>
      <xdr:col>0</xdr:col>
      <xdr:colOff>9525</xdr:colOff>
      <xdr:row>0</xdr:row>
      <xdr:rowOff>33930</xdr:rowOff>
    </xdr:from>
    <xdr:to>
      <xdr:col>0</xdr:col>
      <xdr:colOff>14752</xdr:colOff>
      <xdr:row>1</xdr:row>
      <xdr:rowOff>135700</xdr:rowOff>
    </xdr:to>
    <xdr:cxnSp macro="">
      <xdr:nvCxnSpPr>
        <xdr:cNvPr id="42" name="Straight Connector 41">
          <a:extLst>
            <a:ext uri="{FF2B5EF4-FFF2-40B4-BE49-F238E27FC236}">
              <a16:creationId xmlns:a16="http://schemas.microsoft.com/office/drawing/2014/main" id="{EF725171-E1EF-4076-971B-84A60B6670BD}"/>
            </a:ext>
          </a:extLst>
        </xdr:cNvPr>
        <xdr:cNvCxnSpPr/>
      </xdr:nvCxnSpPr>
      <xdr:spPr>
        <a:xfrm>
          <a:off x="9525" y="33930"/>
          <a:ext cx="5227" cy="399426"/>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267182</xdr:colOff>
      <xdr:row>9</xdr:row>
      <xdr:rowOff>74128</xdr:rowOff>
    </xdr:from>
    <xdr:to>
      <xdr:col>4</xdr:col>
      <xdr:colOff>352872</xdr:colOff>
      <xdr:row>11</xdr:row>
      <xdr:rowOff>114948</xdr:rowOff>
    </xdr:to>
    <xdr:sp macro="" textlink="">
      <xdr:nvSpPr>
        <xdr:cNvPr id="29" name="TextBox 28">
          <a:extLst>
            <a:ext uri="{FF2B5EF4-FFF2-40B4-BE49-F238E27FC236}">
              <a16:creationId xmlns:a16="http://schemas.microsoft.com/office/drawing/2014/main" id="{35BCA47A-5C89-4416-B880-39D2F06C51A8}"/>
            </a:ext>
          </a:extLst>
        </xdr:cNvPr>
        <xdr:cNvSpPr txBox="1"/>
      </xdr:nvSpPr>
      <xdr:spPr>
        <a:xfrm>
          <a:off x="1487573" y="1919597"/>
          <a:ext cx="1306080" cy="42777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pt-BR" sz="1800" b="1">
              <a:ln>
                <a:noFill/>
              </a:ln>
              <a:solidFill>
                <a:srgbClr val="3B2E6B"/>
              </a:solidFill>
              <a:latin typeface="Arial" panose="020B0604020202020204" pitchFamily="34" charset="0"/>
              <a:cs typeface="Arial" panose="020B0604020202020204" pitchFamily="34" charset="0"/>
            </a:rPr>
            <a:t>REGIÕES:</a:t>
          </a:r>
        </a:p>
      </xdr:txBody>
    </xdr:sp>
    <xdr:clientData/>
  </xdr:twoCellAnchor>
  <xdr:twoCellAnchor>
    <xdr:from>
      <xdr:col>7</xdr:col>
      <xdr:colOff>373715</xdr:colOff>
      <xdr:row>9</xdr:row>
      <xdr:rowOff>86600</xdr:rowOff>
    </xdr:from>
    <xdr:to>
      <xdr:col>11</xdr:col>
      <xdr:colOff>435890</xdr:colOff>
      <xdr:row>14</xdr:row>
      <xdr:rowOff>143750</xdr:rowOff>
    </xdr:to>
    <xdr:graphicFrame macro="">
      <xdr:nvGraphicFramePr>
        <xdr:cNvPr id="36" name="Chart 35">
          <a:extLst>
            <a:ext uri="{FF2B5EF4-FFF2-40B4-BE49-F238E27FC236}">
              <a16:creationId xmlns:a16="http://schemas.microsoft.com/office/drawing/2014/main" id="{752E8A63-61E3-4E11-BC43-B4DF4343613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12</xdr:col>
      <xdr:colOff>262128</xdr:colOff>
      <xdr:row>7</xdr:row>
      <xdr:rowOff>124753</xdr:rowOff>
    </xdr:from>
    <xdr:to>
      <xdr:col>16</xdr:col>
      <xdr:colOff>256685</xdr:colOff>
      <xdr:row>15</xdr:row>
      <xdr:rowOff>62934</xdr:rowOff>
    </xdr:to>
    <xdr:sp macro="[0]!RectangleRoundedCorners87_Clique" textlink="">
      <xdr:nvSpPr>
        <xdr:cNvPr id="88" name="Rectangle: Rounded Corners 87">
          <a:extLst>
            <a:ext uri="{FF2B5EF4-FFF2-40B4-BE49-F238E27FC236}">
              <a16:creationId xmlns:a16="http://schemas.microsoft.com/office/drawing/2014/main" id="{E383E872-9182-44FB-90D1-67FC3956169B}"/>
            </a:ext>
          </a:extLst>
        </xdr:cNvPr>
        <xdr:cNvSpPr/>
      </xdr:nvSpPr>
      <xdr:spPr>
        <a:xfrm>
          <a:off x="7584472" y="1583269"/>
          <a:ext cx="2435338" cy="1485993"/>
        </a:xfrm>
        <a:prstGeom prst="roundRect">
          <a:avLst/>
        </a:prstGeom>
        <a:solidFill>
          <a:srgbClr val="3B2E6B">
            <a:alpha val="50000"/>
          </a:srgb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pt-BR" sz="1100"/>
        </a:p>
      </xdr:txBody>
    </xdr:sp>
    <xdr:clientData/>
  </xdr:twoCellAnchor>
  <xdr:twoCellAnchor>
    <xdr:from>
      <xdr:col>12</xdr:col>
      <xdr:colOff>510086</xdr:colOff>
      <xdr:row>8</xdr:row>
      <xdr:rowOff>32853</xdr:rowOff>
    </xdr:from>
    <xdr:to>
      <xdr:col>16</xdr:col>
      <xdr:colOff>47625</xdr:colOff>
      <xdr:row>9</xdr:row>
      <xdr:rowOff>169337</xdr:rowOff>
    </xdr:to>
    <xdr:sp macro="" textlink="">
      <xdr:nvSpPr>
        <xdr:cNvPr id="89" name="TextBox 88">
          <a:extLst>
            <a:ext uri="{FF2B5EF4-FFF2-40B4-BE49-F238E27FC236}">
              <a16:creationId xmlns:a16="http://schemas.microsoft.com/office/drawing/2014/main" id="{A60F39CD-D73E-4550-BEF6-107DF76FA619}"/>
            </a:ext>
          </a:extLst>
        </xdr:cNvPr>
        <xdr:cNvSpPr txBox="1"/>
      </xdr:nvSpPr>
      <xdr:spPr>
        <a:xfrm>
          <a:off x="7832430" y="1684845"/>
          <a:ext cx="1978320" cy="32996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pt-BR" sz="1600" b="1" u="none">
              <a:ln>
                <a:noFill/>
              </a:ln>
              <a:solidFill>
                <a:schemeClr val="bg1"/>
              </a:solidFill>
              <a:latin typeface="Arial" panose="020B0604020202020204" pitchFamily="34" charset="0"/>
              <a:cs typeface="Arial" panose="020B0604020202020204" pitchFamily="34" charset="0"/>
            </a:rPr>
            <a:t>VENDAS MENSAL</a:t>
          </a:r>
        </a:p>
      </xdr:txBody>
    </xdr:sp>
    <xdr:clientData/>
  </xdr:twoCellAnchor>
  <xdr:twoCellAnchor>
    <xdr:from>
      <xdr:col>12</xdr:col>
      <xdr:colOff>254436</xdr:colOff>
      <xdr:row>10</xdr:row>
      <xdr:rowOff>31798</xdr:rowOff>
    </xdr:from>
    <xdr:to>
      <xdr:col>16</xdr:col>
      <xdr:colOff>253154</xdr:colOff>
      <xdr:row>10</xdr:row>
      <xdr:rowOff>40192</xdr:rowOff>
    </xdr:to>
    <xdr:cxnSp macro="">
      <xdr:nvCxnSpPr>
        <xdr:cNvPr id="90" name="Straight Connector 89">
          <a:extLst>
            <a:ext uri="{FF2B5EF4-FFF2-40B4-BE49-F238E27FC236}">
              <a16:creationId xmlns:a16="http://schemas.microsoft.com/office/drawing/2014/main" id="{1656ED8E-8BD8-4556-855D-2B3C6EE8CFFF}"/>
            </a:ext>
          </a:extLst>
        </xdr:cNvPr>
        <xdr:cNvCxnSpPr/>
      </xdr:nvCxnSpPr>
      <xdr:spPr>
        <a:xfrm>
          <a:off x="7576780" y="2070743"/>
          <a:ext cx="2439499" cy="8394"/>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20</xdr:col>
      <xdr:colOff>456129</xdr:colOff>
      <xdr:row>8</xdr:row>
      <xdr:rowOff>131925</xdr:rowOff>
    </xdr:from>
    <xdr:to>
      <xdr:col>24</xdr:col>
      <xdr:colOff>402467</xdr:colOff>
      <xdr:row>15</xdr:row>
      <xdr:rowOff>41712</xdr:rowOff>
    </xdr:to>
    <xdr:graphicFrame macro="">
      <xdr:nvGraphicFramePr>
        <xdr:cNvPr id="105" name="Chart 104">
          <a:extLst>
            <a:ext uri="{FF2B5EF4-FFF2-40B4-BE49-F238E27FC236}">
              <a16:creationId xmlns:a16="http://schemas.microsoft.com/office/drawing/2014/main" id="{5A46E6E6-2C47-46B0-A5B6-BE1B830B6E1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1</xdr:colOff>
      <xdr:row>40</xdr:row>
      <xdr:rowOff>78381</xdr:rowOff>
    </xdr:from>
    <xdr:to>
      <xdr:col>6</xdr:col>
      <xdr:colOff>44649</xdr:colOff>
      <xdr:row>43</xdr:row>
      <xdr:rowOff>50600</xdr:rowOff>
    </xdr:to>
    <xdr:sp macro="" textlink="">
      <xdr:nvSpPr>
        <xdr:cNvPr id="108" name="Rectangle 107">
          <a:extLst>
            <a:ext uri="{FF2B5EF4-FFF2-40B4-BE49-F238E27FC236}">
              <a16:creationId xmlns:a16="http://schemas.microsoft.com/office/drawing/2014/main" id="{431EF1D4-FBE7-2507-391D-983B943FA503}"/>
            </a:ext>
          </a:extLst>
        </xdr:cNvPr>
        <xdr:cNvSpPr/>
      </xdr:nvSpPr>
      <xdr:spPr>
        <a:xfrm>
          <a:off x="1" y="7921623"/>
          <a:ext cx="3705820" cy="552649"/>
        </a:xfrm>
        <a:prstGeom prst="rect">
          <a:avLst/>
        </a:prstGeom>
        <a:gradFill flip="none" rotWithShape="1">
          <a:gsLst>
            <a:gs pos="0">
              <a:srgbClr val="8149CF"/>
            </a:gs>
            <a:gs pos="50000">
              <a:srgbClr val="6459A2"/>
            </a:gs>
            <a:gs pos="97000">
              <a:srgbClr val="3B2E6B"/>
            </a:gs>
          </a:gsLst>
          <a:lin ang="2700000" scaled="1"/>
          <a:tileRect/>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pt-BR" sz="1100"/>
        </a:p>
      </xdr:txBody>
    </xdr:sp>
    <xdr:clientData/>
  </xdr:twoCellAnchor>
  <xdr:twoCellAnchor>
    <xdr:from>
      <xdr:col>1</xdr:col>
      <xdr:colOff>513702</xdr:colOff>
      <xdr:row>41</xdr:row>
      <xdr:rowOff>16754</xdr:rowOff>
    </xdr:from>
    <xdr:to>
      <xdr:col>4</xdr:col>
      <xdr:colOff>74414</xdr:colOff>
      <xdr:row>43</xdr:row>
      <xdr:rowOff>0</xdr:rowOff>
    </xdr:to>
    <xdr:sp macro="" textlink="">
      <xdr:nvSpPr>
        <xdr:cNvPr id="110" name="TextBox 109">
          <a:extLst>
            <a:ext uri="{FF2B5EF4-FFF2-40B4-BE49-F238E27FC236}">
              <a16:creationId xmlns:a16="http://schemas.microsoft.com/office/drawing/2014/main" id="{9B8DA00A-29B6-47A9-AFAE-9979D34BA321}"/>
            </a:ext>
          </a:extLst>
        </xdr:cNvPr>
        <xdr:cNvSpPr txBox="1"/>
      </xdr:nvSpPr>
      <xdr:spPr>
        <a:xfrm>
          <a:off x="1123897" y="8053473"/>
          <a:ext cx="1718720" cy="37019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pt-BR" sz="1350" b="1" i="0">
              <a:ln>
                <a:noFill/>
              </a:ln>
              <a:solidFill>
                <a:schemeClr val="bg1"/>
              </a:solidFill>
              <a:latin typeface="Arial" panose="020B0604020202020204" pitchFamily="34" charset="0"/>
              <a:cs typeface="Arial" panose="020B0604020202020204" pitchFamily="34" charset="0"/>
            </a:rPr>
            <a:t>KELTON</a:t>
          </a:r>
          <a:r>
            <a:rPr lang="pt-BR" sz="1350" b="1" i="0" baseline="0">
              <a:ln>
                <a:noFill/>
              </a:ln>
              <a:solidFill>
                <a:schemeClr val="bg1"/>
              </a:solidFill>
              <a:latin typeface="Arial" panose="020B0604020202020204" pitchFamily="34" charset="0"/>
              <a:cs typeface="Arial" panose="020B0604020202020204" pitchFamily="34" charset="0"/>
            </a:rPr>
            <a:t> ALMEIDA</a:t>
          </a:r>
          <a:endParaRPr lang="pt-BR" sz="1350" b="1" i="0">
            <a:ln>
              <a:noFill/>
            </a:ln>
            <a:solidFill>
              <a:schemeClr val="bg1"/>
            </a:solidFill>
            <a:latin typeface="Arial" panose="020B0604020202020204" pitchFamily="34" charset="0"/>
            <a:cs typeface="Arial" panose="020B0604020202020204" pitchFamily="34" charset="0"/>
          </a:endParaRPr>
        </a:p>
      </xdr:txBody>
    </xdr:sp>
    <xdr:clientData/>
  </xdr:twoCellAnchor>
  <xdr:twoCellAnchor>
    <xdr:from>
      <xdr:col>0</xdr:col>
      <xdr:colOff>0</xdr:colOff>
      <xdr:row>0</xdr:row>
      <xdr:rowOff>14883</xdr:rowOff>
    </xdr:from>
    <xdr:to>
      <xdr:col>6</xdr:col>
      <xdr:colOff>63500</xdr:colOff>
      <xdr:row>2</xdr:row>
      <xdr:rowOff>65683</xdr:rowOff>
    </xdr:to>
    <xdr:sp macro="" textlink="">
      <xdr:nvSpPr>
        <xdr:cNvPr id="111" name="Rectangle 110">
          <a:extLst>
            <a:ext uri="{FF2B5EF4-FFF2-40B4-BE49-F238E27FC236}">
              <a16:creationId xmlns:a16="http://schemas.microsoft.com/office/drawing/2014/main" id="{6B3E9BEE-2E92-43AD-ADF9-C55F54BE4B8F}"/>
            </a:ext>
          </a:extLst>
        </xdr:cNvPr>
        <xdr:cNvSpPr/>
      </xdr:nvSpPr>
      <xdr:spPr>
        <a:xfrm>
          <a:off x="0" y="14883"/>
          <a:ext cx="3724672" cy="541933"/>
        </a:xfrm>
        <a:prstGeom prst="rect">
          <a:avLst/>
        </a:prstGeom>
        <a:gradFill flip="none" rotWithShape="1">
          <a:gsLst>
            <a:gs pos="0">
              <a:srgbClr val="8149CF"/>
            </a:gs>
            <a:gs pos="50000">
              <a:srgbClr val="6459A2"/>
            </a:gs>
            <a:gs pos="97000">
              <a:srgbClr val="3B2E6B"/>
            </a:gs>
          </a:gsLst>
          <a:lin ang="2700000" scaled="1"/>
          <a:tileRect/>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pt-BR" sz="1100"/>
        </a:p>
      </xdr:txBody>
    </xdr:sp>
    <xdr:clientData/>
  </xdr:twoCellAnchor>
  <xdr:twoCellAnchor editAs="oneCell">
    <xdr:from>
      <xdr:col>0</xdr:col>
      <xdr:colOff>29766</xdr:colOff>
      <xdr:row>17</xdr:row>
      <xdr:rowOff>89298</xdr:rowOff>
    </xdr:from>
    <xdr:to>
      <xdr:col>6</xdr:col>
      <xdr:colOff>37172</xdr:colOff>
      <xdr:row>19</xdr:row>
      <xdr:rowOff>178595</xdr:rowOff>
    </xdr:to>
    <mc:AlternateContent xmlns:mc="http://schemas.openxmlformats.org/markup-compatibility/2006">
      <mc:Choice xmlns:a14="http://schemas.microsoft.com/office/drawing/2010/main" Requires="a14">
        <xdr:graphicFrame macro="">
          <xdr:nvGraphicFramePr>
            <xdr:cNvPr id="117" name="Região 1">
              <a:extLst>
                <a:ext uri="{FF2B5EF4-FFF2-40B4-BE49-F238E27FC236}">
                  <a16:creationId xmlns:a16="http://schemas.microsoft.com/office/drawing/2014/main" id="{255483CC-D99A-4698-917E-410FF7ADD684}"/>
                </a:ext>
              </a:extLst>
            </xdr:cNvPr>
            <xdr:cNvGraphicFramePr>
              <a:graphicFrameLocks/>
            </xdr:cNvGraphicFramePr>
          </xdr:nvGraphicFramePr>
          <xdr:xfrm>
            <a:off x="0" y="0"/>
            <a:ext cx="0" cy="0"/>
          </xdr:xfrm>
          <a:graphic>
            <a:graphicData uri="http://schemas.microsoft.com/office/drawing/2010/slicer">
              <sle:slicer xmlns:sle="http://schemas.microsoft.com/office/drawing/2010/slicer" name="Região 1"/>
            </a:graphicData>
          </a:graphic>
        </xdr:graphicFrame>
      </mc:Choice>
      <mc:Fallback>
        <xdr:sp macro="" textlink="">
          <xdr:nvSpPr>
            <xdr:cNvPr id="0" name=""/>
            <xdr:cNvSpPr>
              <a:spLocks noTextEdit="1"/>
            </xdr:cNvSpPr>
          </xdr:nvSpPr>
          <xdr:spPr>
            <a:xfrm>
              <a:off x="29766" y="3482579"/>
              <a:ext cx="3996000" cy="476250"/>
            </a:xfrm>
            <a:prstGeom prst="rect">
              <a:avLst/>
            </a:prstGeom>
            <a:solidFill>
              <a:prstClr val="white"/>
            </a:solidFill>
            <a:ln w="1">
              <a:solidFill>
                <a:prstClr val="green"/>
              </a:solidFill>
            </a:ln>
          </xdr:spPr>
          <xdr:txBody>
            <a:bodyPr vertOverflow="clip" horzOverflow="clip"/>
            <a:lstStyle/>
            <a:p>
              <a:r>
                <a:rPr lang="pt-BR" sz="1100"/>
                <a:t>Esta forma representa uma segmentação de dados. Segmentações de dados têm suporte no Excel 2010 ou versões posteriores.
\Se a forma tiver sido modificada em uma versão anterior do Excel, ou se a pasta de trabalho tiver sido salva no Excel 2003 ou versões anteriores, a segmentação de dados não poderá ser usada.</a:t>
              </a:r>
            </a:p>
          </xdr:txBody>
        </xdr:sp>
      </mc:Fallback>
    </mc:AlternateContent>
    <xdr:clientData/>
  </xdr:twoCellAnchor>
  <xdr:twoCellAnchor>
    <xdr:from>
      <xdr:col>1</xdr:col>
      <xdr:colOff>595657</xdr:colOff>
      <xdr:row>0</xdr:row>
      <xdr:rowOff>106449</xdr:rowOff>
    </xdr:from>
    <xdr:to>
      <xdr:col>4</xdr:col>
      <xdr:colOff>76201</xdr:colOff>
      <xdr:row>1</xdr:row>
      <xdr:rowOff>179982</xdr:rowOff>
    </xdr:to>
    <xdr:sp macro="" textlink="">
      <xdr:nvSpPr>
        <xdr:cNvPr id="112" name="TextBox 111">
          <a:extLst>
            <a:ext uri="{FF2B5EF4-FFF2-40B4-BE49-F238E27FC236}">
              <a16:creationId xmlns:a16="http://schemas.microsoft.com/office/drawing/2014/main" id="{38420044-63F8-4B8E-878A-24D3783D73D0}"/>
            </a:ext>
          </a:extLst>
        </xdr:cNvPr>
        <xdr:cNvSpPr txBox="1"/>
      </xdr:nvSpPr>
      <xdr:spPr>
        <a:xfrm>
          <a:off x="1205852" y="106449"/>
          <a:ext cx="1311130" cy="37118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pt-BR" sz="1350" b="1" i="0">
              <a:ln>
                <a:noFill/>
              </a:ln>
              <a:solidFill>
                <a:schemeClr val="bg1"/>
              </a:solidFill>
              <a:latin typeface="Arial" panose="020B0604020202020204" pitchFamily="34" charset="0"/>
              <a:cs typeface="Arial" panose="020B0604020202020204" pitchFamily="34" charset="0"/>
            </a:rPr>
            <a:t>DASHBOARD</a:t>
          </a:r>
        </a:p>
      </xdr:txBody>
    </xdr:sp>
    <xdr:clientData/>
  </xdr:twoCellAnchor>
  <xdr:twoCellAnchor>
    <xdr:from>
      <xdr:col>10</xdr:col>
      <xdr:colOff>24703</xdr:colOff>
      <xdr:row>16</xdr:row>
      <xdr:rowOff>41569</xdr:rowOff>
    </xdr:from>
    <xdr:to>
      <xdr:col>19</xdr:col>
      <xdr:colOff>7993</xdr:colOff>
      <xdr:row>32</xdr:row>
      <xdr:rowOff>19361</xdr:rowOff>
    </xdr:to>
    <xdr:sp macro="" textlink="">
      <xdr:nvSpPr>
        <xdr:cNvPr id="7" name="Rectangle: Rounded Corners 6">
          <a:extLst>
            <a:ext uri="{FF2B5EF4-FFF2-40B4-BE49-F238E27FC236}">
              <a16:creationId xmlns:a16="http://schemas.microsoft.com/office/drawing/2014/main" id="{2CBEBE9E-4477-49E7-BD68-A3F6E27CB3B7}"/>
            </a:ext>
          </a:extLst>
        </xdr:cNvPr>
        <xdr:cNvSpPr/>
      </xdr:nvSpPr>
      <xdr:spPr>
        <a:xfrm>
          <a:off x="6126656" y="3241374"/>
          <a:ext cx="5475048" cy="3073417"/>
        </a:xfrm>
        <a:prstGeom prst="roundRect">
          <a:avLst/>
        </a:prstGeom>
        <a:solidFill>
          <a:srgbClr val="3B2E6B">
            <a:alpha val="50000"/>
          </a:srgb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nchorCtr="0"/>
        <a:lstStyle/>
        <a:p>
          <a:pPr algn="l"/>
          <a:endParaRPr lang="pt-BR" sz="1100"/>
        </a:p>
      </xdr:txBody>
    </xdr:sp>
    <xdr:clientData/>
  </xdr:twoCellAnchor>
  <xdr:twoCellAnchor>
    <xdr:from>
      <xdr:col>21</xdr:col>
      <xdr:colOff>605745</xdr:colOff>
      <xdr:row>7</xdr:row>
      <xdr:rowOff>150266</xdr:rowOff>
    </xdr:from>
    <xdr:to>
      <xdr:col>25</xdr:col>
      <xdr:colOff>600302</xdr:colOff>
      <xdr:row>15</xdr:row>
      <xdr:rowOff>79326</xdr:rowOff>
    </xdr:to>
    <xdr:sp macro="" textlink="">
      <xdr:nvSpPr>
        <xdr:cNvPr id="13" name="Rectangle: Rounded Corners 12">
          <a:extLst>
            <a:ext uri="{FF2B5EF4-FFF2-40B4-BE49-F238E27FC236}">
              <a16:creationId xmlns:a16="http://schemas.microsoft.com/office/drawing/2014/main" id="{1533A58C-EB98-468B-A6C9-592DF6BC6E42}"/>
            </a:ext>
          </a:extLst>
        </xdr:cNvPr>
        <xdr:cNvSpPr/>
      </xdr:nvSpPr>
      <xdr:spPr>
        <a:xfrm>
          <a:off x="13419847" y="1608782"/>
          <a:ext cx="2435338" cy="1476872"/>
        </a:xfrm>
        <a:prstGeom prst="roundRect">
          <a:avLst/>
        </a:prstGeom>
        <a:solidFill>
          <a:srgbClr val="3B2E6B">
            <a:alpha val="50000"/>
          </a:srgb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pt-BR" sz="1100"/>
        </a:p>
      </xdr:txBody>
    </xdr:sp>
    <xdr:clientData/>
  </xdr:twoCellAnchor>
  <xdr:twoCellAnchor>
    <xdr:from>
      <xdr:col>22</xdr:col>
      <xdr:colOff>158818</xdr:colOff>
      <xdr:row>8</xdr:row>
      <xdr:rowOff>49246</xdr:rowOff>
    </xdr:from>
    <xdr:to>
      <xdr:col>26</xdr:col>
      <xdr:colOff>273842</xdr:colOff>
      <xdr:row>10</xdr:row>
      <xdr:rowOff>7520</xdr:rowOff>
    </xdr:to>
    <xdr:sp macro="" textlink="">
      <xdr:nvSpPr>
        <xdr:cNvPr id="14" name="TextBox 13">
          <a:extLst>
            <a:ext uri="{FF2B5EF4-FFF2-40B4-BE49-F238E27FC236}">
              <a16:creationId xmlns:a16="http://schemas.microsoft.com/office/drawing/2014/main" id="{941D06C6-E466-43EC-992D-E991D630F838}"/>
            </a:ext>
          </a:extLst>
        </xdr:cNvPr>
        <xdr:cNvSpPr txBox="1"/>
      </xdr:nvSpPr>
      <xdr:spPr>
        <a:xfrm>
          <a:off x="13583115" y="1701238"/>
          <a:ext cx="2555805" cy="34522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pt-BR" sz="1600" b="1" u="none">
              <a:ln>
                <a:noFill/>
              </a:ln>
              <a:solidFill>
                <a:schemeClr val="bg1"/>
              </a:solidFill>
              <a:latin typeface="Arial" panose="020B0604020202020204" pitchFamily="34" charset="0"/>
              <a:cs typeface="Arial" panose="020B0604020202020204" pitchFamily="34" charset="0"/>
            </a:rPr>
            <a:t>TOTAL</a:t>
          </a:r>
          <a:r>
            <a:rPr lang="pt-BR" sz="1600" b="1" u="none" baseline="0">
              <a:ln>
                <a:noFill/>
              </a:ln>
              <a:solidFill>
                <a:schemeClr val="bg1"/>
              </a:solidFill>
              <a:latin typeface="Arial" panose="020B0604020202020204" pitchFamily="34" charset="0"/>
              <a:cs typeface="Arial" panose="020B0604020202020204" pitchFamily="34" charset="0"/>
            </a:rPr>
            <a:t> DE VENDAS</a:t>
          </a:r>
          <a:endParaRPr lang="pt-BR" sz="1600" b="1" u="none">
            <a:ln>
              <a:noFill/>
            </a:ln>
            <a:solidFill>
              <a:schemeClr val="bg1"/>
            </a:solidFill>
            <a:latin typeface="Arial" panose="020B0604020202020204" pitchFamily="34" charset="0"/>
            <a:cs typeface="Arial" panose="020B0604020202020204" pitchFamily="34" charset="0"/>
          </a:endParaRPr>
        </a:p>
      </xdr:txBody>
    </xdr:sp>
    <xdr:clientData/>
  </xdr:twoCellAnchor>
  <xdr:twoCellAnchor>
    <xdr:from>
      <xdr:col>21</xdr:col>
      <xdr:colOff>601396</xdr:colOff>
      <xdr:row>10</xdr:row>
      <xdr:rowOff>58554</xdr:rowOff>
    </xdr:from>
    <xdr:to>
      <xdr:col>25</xdr:col>
      <xdr:colOff>596771</xdr:colOff>
      <xdr:row>10</xdr:row>
      <xdr:rowOff>65705</xdr:rowOff>
    </xdr:to>
    <xdr:cxnSp macro="">
      <xdr:nvCxnSpPr>
        <xdr:cNvPr id="15" name="Straight Connector 14">
          <a:extLst>
            <a:ext uri="{FF2B5EF4-FFF2-40B4-BE49-F238E27FC236}">
              <a16:creationId xmlns:a16="http://schemas.microsoft.com/office/drawing/2014/main" id="{3B30316A-2889-4C18-ACD9-23DFB1A88C93}"/>
            </a:ext>
          </a:extLst>
        </xdr:cNvPr>
        <xdr:cNvCxnSpPr/>
      </xdr:nvCxnSpPr>
      <xdr:spPr>
        <a:xfrm>
          <a:off x="13415498" y="2097499"/>
          <a:ext cx="2436156" cy="7151"/>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561445</xdr:colOff>
      <xdr:row>19</xdr:row>
      <xdr:rowOff>14880</xdr:rowOff>
    </xdr:from>
    <xdr:to>
      <xdr:col>18</xdr:col>
      <xdr:colOff>44648</xdr:colOff>
      <xdr:row>31</xdr:row>
      <xdr:rowOff>181472</xdr:rowOff>
    </xdr:to>
    <xdr:graphicFrame macro="">
      <xdr:nvGraphicFramePr>
        <xdr:cNvPr id="22" name="Chart 21">
          <a:extLst>
            <a:ext uri="{FF2B5EF4-FFF2-40B4-BE49-F238E27FC236}">
              <a16:creationId xmlns:a16="http://schemas.microsoft.com/office/drawing/2014/main" id="{A999AE4B-6EC4-427C-A2E0-8987BD7F927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238124</xdr:colOff>
      <xdr:row>7</xdr:row>
      <xdr:rowOff>113586</xdr:rowOff>
    </xdr:from>
    <xdr:to>
      <xdr:col>3</xdr:col>
      <xdr:colOff>213191</xdr:colOff>
      <xdr:row>12</xdr:row>
      <xdr:rowOff>190402</xdr:rowOff>
    </xdr:to>
    <xdr:graphicFrame macro="">
      <xdr:nvGraphicFramePr>
        <xdr:cNvPr id="23" name="Chart 22">
          <a:extLst>
            <a:ext uri="{FF2B5EF4-FFF2-40B4-BE49-F238E27FC236}">
              <a16:creationId xmlns:a16="http://schemas.microsoft.com/office/drawing/2014/main" id="{587A5512-733F-42EF-99C8-13972C99C02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23</xdr:col>
      <xdr:colOff>324410</xdr:colOff>
      <xdr:row>11</xdr:row>
      <xdr:rowOff>119541</xdr:rowOff>
    </xdr:from>
    <xdr:to>
      <xdr:col>26</xdr:col>
      <xdr:colOff>255983</xdr:colOff>
      <xdr:row>13</xdr:row>
      <xdr:rowOff>80791</xdr:rowOff>
    </xdr:to>
    <xdr:sp macro="" textlink="">
      <xdr:nvSpPr>
        <xdr:cNvPr id="24" name="TextBox 23">
          <a:extLst>
            <a:ext uri="{FF2B5EF4-FFF2-40B4-BE49-F238E27FC236}">
              <a16:creationId xmlns:a16="http://schemas.microsoft.com/office/drawing/2014/main" id="{65F73F1F-D460-4D75-BDE2-D567176B839E}"/>
            </a:ext>
          </a:extLst>
        </xdr:cNvPr>
        <xdr:cNvSpPr txBox="1"/>
      </xdr:nvSpPr>
      <xdr:spPr>
        <a:xfrm>
          <a:off x="14358902" y="2351963"/>
          <a:ext cx="1762159" cy="3482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pt-BR" sz="1800" b="1">
              <a:solidFill>
                <a:schemeClr val="bg1"/>
              </a:solidFill>
              <a:latin typeface="+mn-lt"/>
            </a:rPr>
            <a:t>R$22.850,00</a:t>
          </a:r>
        </a:p>
      </xdr:txBody>
    </xdr:sp>
    <xdr:clientData/>
  </xdr:twoCellAnchor>
  <xdr:twoCellAnchor>
    <xdr:from>
      <xdr:col>21</xdr:col>
      <xdr:colOff>330619</xdr:colOff>
      <xdr:row>10</xdr:row>
      <xdr:rowOff>68459</xdr:rowOff>
    </xdr:from>
    <xdr:to>
      <xdr:col>24</xdr:col>
      <xdr:colOff>107152</xdr:colOff>
      <xdr:row>15</xdr:row>
      <xdr:rowOff>56553</xdr:rowOff>
    </xdr:to>
    <xdr:graphicFrame macro="">
      <xdr:nvGraphicFramePr>
        <xdr:cNvPr id="25" name="Chart 24">
          <a:extLst>
            <a:ext uri="{FF2B5EF4-FFF2-40B4-BE49-F238E27FC236}">
              <a16:creationId xmlns:a16="http://schemas.microsoft.com/office/drawing/2014/main" id="{259E27FC-AA33-4C08-9D17-2133A8CDE8F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12</xdr:col>
      <xdr:colOff>16685</xdr:colOff>
      <xdr:row>16</xdr:row>
      <xdr:rowOff>122225</xdr:rowOff>
    </xdr:from>
    <xdr:to>
      <xdr:col>17</xdr:col>
      <xdr:colOff>14259</xdr:colOff>
      <xdr:row>18</xdr:row>
      <xdr:rowOff>50601</xdr:rowOff>
    </xdr:to>
    <xdr:sp macro="" textlink="">
      <xdr:nvSpPr>
        <xdr:cNvPr id="27" name="TextBox 26">
          <a:extLst>
            <a:ext uri="{FF2B5EF4-FFF2-40B4-BE49-F238E27FC236}">
              <a16:creationId xmlns:a16="http://schemas.microsoft.com/office/drawing/2014/main" id="{D959C7CF-A430-4785-ADC9-F0E1D9FC79CA}"/>
            </a:ext>
          </a:extLst>
        </xdr:cNvPr>
        <xdr:cNvSpPr txBox="1"/>
      </xdr:nvSpPr>
      <xdr:spPr>
        <a:xfrm>
          <a:off x="7339029" y="3322030"/>
          <a:ext cx="3048550" cy="31532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pt-BR" sz="1600" b="1" u="none">
              <a:ln>
                <a:noFill/>
              </a:ln>
              <a:solidFill>
                <a:schemeClr val="bg1"/>
              </a:solidFill>
              <a:latin typeface="Arial" panose="020B0604020202020204" pitchFamily="34" charset="0"/>
              <a:cs typeface="Arial" panose="020B0604020202020204" pitchFamily="34" charset="0"/>
            </a:rPr>
            <a:t>MARCAS MAIS VENDIDAS</a:t>
          </a:r>
        </a:p>
      </xdr:txBody>
    </xdr:sp>
    <xdr:clientData/>
  </xdr:twoCellAnchor>
  <xdr:twoCellAnchor>
    <xdr:from>
      <xdr:col>10</xdr:col>
      <xdr:colOff>25883</xdr:colOff>
      <xdr:row>18</xdr:row>
      <xdr:rowOff>82179</xdr:rowOff>
    </xdr:from>
    <xdr:to>
      <xdr:col>19</xdr:col>
      <xdr:colOff>5177</xdr:colOff>
      <xdr:row>18</xdr:row>
      <xdr:rowOff>133945</xdr:rowOff>
    </xdr:to>
    <xdr:cxnSp macro="">
      <xdr:nvCxnSpPr>
        <xdr:cNvPr id="31" name="Straight Connector 30">
          <a:extLst>
            <a:ext uri="{FF2B5EF4-FFF2-40B4-BE49-F238E27FC236}">
              <a16:creationId xmlns:a16="http://schemas.microsoft.com/office/drawing/2014/main" id="{50585841-08C0-44A0-8B5F-8FF2D26363E3}"/>
            </a:ext>
          </a:extLst>
        </xdr:cNvPr>
        <xdr:cNvCxnSpPr/>
      </xdr:nvCxnSpPr>
      <xdr:spPr>
        <a:xfrm>
          <a:off x="6127836" y="3668937"/>
          <a:ext cx="5471052" cy="51766"/>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19</xdr:col>
      <xdr:colOff>285362</xdr:colOff>
      <xdr:row>18</xdr:row>
      <xdr:rowOff>135885</xdr:rowOff>
    </xdr:from>
    <xdr:to>
      <xdr:col>28</xdr:col>
      <xdr:colOff>264656</xdr:colOff>
      <xdr:row>18</xdr:row>
      <xdr:rowOff>187651</xdr:rowOff>
    </xdr:to>
    <xdr:cxnSp macro="">
      <xdr:nvCxnSpPr>
        <xdr:cNvPr id="37" name="Straight Connector 36">
          <a:extLst>
            <a:ext uri="{FF2B5EF4-FFF2-40B4-BE49-F238E27FC236}">
              <a16:creationId xmlns:a16="http://schemas.microsoft.com/office/drawing/2014/main" id="{13729999-E213-497D-BBEB-2111F8D023F1}"/>
            </a:ext>
          </a:extLst>
        </xdr:cNvPr>
        <xdr:cNvCxnSpPr/>
      </xdr:nvCxnSpPr>
      <xdr:spPr>
        <a:xfrm>
          <a:off x="11879073" y="3722643"/>
          <a:ext cx="5471052" cy="51766"/>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22</xdr:col>
      <xdr:colOff>192522</xdr:colOff>
      <xdr:row>16</xdr:row>
      <xdr:rowOff>133945</xdr:rowOff>
    </xdr:from>
    <xdr:to>
      <xdr:col>25</xdr:col>
      <xdr:colOff>357187</xdr:colOff>
      <xdr:row>18</xdr:row>
      <xdr:rowOff>74413</xdr:rowOff>
    </xdr:to>
    <xdr:sp macro="" textlink="">
      <xdr:nvSpPr>
        <xdr:cNvPr id="40" name="TextBox 39">
          <a:extLst>
            <a:ext uri="{FF2B5EF4-FFF2-40B4-BE49-F238E27FC236}">
              <a16:creationId xmlns:a16="http://schemas.microsoft.com/office/drawing/2014/main" id="{C89D6942-CD4B-4138-A8EC-2F84B5A1166A}"/>
            </a:ext>
          </a:extLst>
        </xdr:cNvPr>
        <xdr:cNvSpPr txBox="1"/>
      </xdr:nvSpPr>
      <xdr:spPr>
        <a:xfrm>
          <a:off x="13616819" y="3333750"/>
          <a:ext cx="1995251" cy="32742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pt-BR" sz="1600" b="1" u="none">
              <a:ln>
                <a:noFill/>
              </a:ln>
              <a:solidFill>
                <a:schemeClr val="bg1"/>
              </a:solidFill>
              <a:latin typeface="Arial" panose="020B0604020202020204" pitchFamily="34" charset="0"/>
              <a:cs typeface="Arial" panose="020B0604020202020204" pitchFamily="34" charset="0"/>
            </a:rPr>
            <a:t>DATA</a:t>
          </a:r>
          <a:r>
            <a:rPr lang="pt-BR" sz="1600" b="1" u="none" baseline="0">
              <a:ln>
                <a:noFill/>
              </a:ln>
              <a:solidFill>
                <a:schemeClr val="bg1"/>
              </a:solidFill>
              <a:latin typeface="Arial" panose="020B0604020202020204" pitchFamily="34" charset="0"/>
              <a:cs typeface="Arial" panose="020B0604020202020204" pitchFamily="34" charset="0"/>
            </a:rPr>
            <a:t> DE VENDAS</a:t>
          </a:r>
          <a:endParaRPr lang="pt-BR" sz="1600" b="1" u="none">
            <a:ln>
              <a:noFill/>
            </a:ln>
            <a:solidFill>
              <a:schemeClr val="bg1"/>
            </a:solidFill>
            <a:latin typeface="Arial" panose="020B0604020202020204" pitchFamily="34" charset="0"/>
            <a:cs typeface="Arial" panose="020B0604020202020204" pitchFamily="34" charset="0"/>
          </a:endParaRPr>
        </a:p>
      </xdr:txBody>
    </xdr:sp>
    <xdr:clientData/>
  </xdr:twoCellAnchor>
  <xdr:twoCellAnchor>
    <xdr:from>
      <xdr:col>20</xdr:col>
      <xdr:colOff>253008</xdr:colOff>
      <xdr:row>18</xdr:row>
      <xdr:rowOff>193066</xdr:rowOff>
    </xdr:from>
    <xdr:to>
      <xdr:col>27</xdr:col>
      <xdr:colOff>357189</xdr:colOff>
      <xdr:row>32</xdr:row>
      <xdr:rowOff>-1</xdr:rowOff>
    </xdr:to>
    <xdr:graphicFrame macro="">
      <xdr:nvGraphicFramePr>
        <xdr:cNvPr id="41" name="Chart 40">
          <a:extLst>
            <a:ext uri="{FF2B5EF4-FFF2-40B4-BE49-F238E27FC236}">
              <a16:creationId xmlns:a16="http://schemas.microsoft.com/office/drawing/2014/main" id="{62D4B861-6A0D-445E-9F33-873A1BD9888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oneCellAnchor>
    <xdr:from>
      <xdr:col>12</xdr:col>
      <xdr:colOff>416718</xdr:colOff>
      <xdr:row>10</xdr:row>
      <xdr:rowOff>163709</xdr:rowOff>
    </xdr:from>
    <xdr:ext cx="2247303" cy="655885"/>
    <xdr:sp macro="[0]!Módulo3.AlternarMes" textlink="$B$101">
      <xdr:nvSpPr>
        <xdr:cNvPr id="9" name="CaixaDeTexto 8">
          <a:extLst>
            <a:ext uri="{FF2B5EF4-FFF2-40B4-BE49-F238E27FC236}">
              <a16:creationId xmlns:a16="http://schemas.microsoft.com/office/drawing/2014/main" id="{28AC1FA9-8B4F-BEA3-C16C-FD2857A8EF3C}"/>
            </a:ext>
          </a:extLst>
        </xdr:cNvPr>
        <xdr:cNvSpPr txBox="1"/>
      </xdr:nvSpPr>
      <xdr:spPr>
        <a:xfrm>
          <a:off x="8066484" y="2202654"/>
          <a:ext cx="2247303" cy="6558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fld id="{EDCA01C9-BFA2-4D3C-94AE-81493A075CAA}" type="TxLink">
            <a:rPr lang="en-US" sz="3600" b="1" i="0" u="none" strike="noStrike">
              <a:solidFill>
                <a:schemeClr val="bg1"/>
              </a:solidFill>
              <a:latin typeface="Calibri"/>
              <a:ea typeface="Calibri"/>
              <a:cs typeface="Calibri"/>
            </a:rPr>
            <a:pPr/>
            <a:t> </a:t>
          </a:fld>
          <a:r>
            <a:rPr lang="en-US" sz="3600" b="1" i="0" u="none" strike="noStrike">
              <a:solidFill>
                <a:schemeClr val="bg1"/>
              </a:solidFill>
              <a:latin typeface="Calibri"/>
              <a:ea typeface="Calibri"/>
              <a:cs typeface="Calibri"/>
            </a:rPr>
            <a:t>R$94.500</a:t>
          </a:r>
          <a:endParaRPr lang="pt-BR" sz="3600" b="1">
            <a:solidFill>
              <a:schemeClr val="bg1"/>
            </a:solidFill>
          </a:endParaRPr>
        </a:p>
      </xdr:txBody>
    </xdr:sp>
    <xdr:clientData/>
  </xdr:oneCellAnchor>
  <xdr:oneCellAnchor>
    <xdr:from>
      <xdr:col>0</xdr:col>
      <xdr:colOff>0</xdr:colOff>
      <xdr:row>0</xdr:row>
      <xdr:rowOff>14882</xdr:rowOff>
    </xdr:from>
    <xdr:ext cx="1190624" cy="264560"/>
    <xdr:sp macro="" textlink="$K$22">
      <xdr:nvSpPr>
        <xdr:cNvPr id="4" name="CaixaDeTexto 3">
          <a:extLst>
            <a:ext uri="{FF2B5EF4-FFF2-40B4-BE49-F238E27FC236}">
              <a16:creationId xmlns:a16="http://schemas.microsoft.com/office/drawing/2014/main" id="{CC9BF700-C46C-4144-ACAA-CACC2D3D54F4}"/>
            </a:ext>
          </a:extLst>
        </xdr:cNvPr>
        <xdr:cNvSpPr txBox="1"/>
      </xdr:nvSpPr>
      <xdr:spPr>
        <a:xfrm>
          <a:off x="0" y="14882"/>
          <a:ext cx="1190624"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l"/>
          <a:fld id="{621070EC-F762-4912-830B-C0773B29A6E3}" type="TxLink">
            <a:rPr lang="en-US" sz="1100" b="0" i="0" u="none" strike="noStrike">
              <a:solidFill>
                <a:srgbClr val="000000"/>
              </a:solidFill>
              <a:latin typeface="Calibri"/>
              <a:ea typeface="Calibri"/>
              <a:cs typeface="Calibri"/>
            </a:rPr>
            <a:t> </a:t>
          </a:fld>
          <a:endParaRPr lang="pt-BR" sz="3600" b="1" i="0" u="none" strike="noStrike">
            <a:solidFill>
              <a:schemeClr val="bg1"/>
            </a:solidFill>
            <a:latin typeface="Calibri"/>
            <a:ea typeface="Calibri"/>
            <a:cs typeface="Calibri"/>
          </a:endParaRPr>
        </a:p>
      </xdr:txBody>
    </xdr:sp>
    <xdr:clientData/>
  </xdr:oneCellAnchor>
  <xdr:oneCellAnchor>
    <xdr:from>
      <xdr:col>0</xdr:col>
      <xdr:colOff>152400</xdr:colOff>
      <xdr:row>0</xdr:row>
      <xdr:rowOff>167282</xdr:rowOff>
    </xdr:from>
    <xdr:ext cx="1190624" cy="264560"/>
    <xdr:sp macro="" textlink="$K$22">
      <xdr:nvSpPr>
        <xdr:cNvPr id="5" name="CaixaDeTexto 4">
          <a:extLst>
            <a:ext uri="{FF2B5EF4-FFF2-40B4-BE49-F238E27FC236}">
              <a16:creationId xmlns:a16="http://schemas.microsoft.com/office/drawing/2014/main" id="{1528CA6B-6DCA-4C00-895E-28241B122374}"/>
            </a:ext>
          </a:extLst>
        </xdr:cNvPr>
        <xdr:cNvSpPr txBox="1"/>
      </xdr:nvSpPr>
      <xdr:spPr>
        <a:xfrm>
          <a:off x="152400" y="167282"/>
          <a:ext cx="1190624"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l"/>
          <a:fld id="{621070EC-F762-4912-830B-C0773B29A6E3}" type="TxLink">
            <a:rPr lang="en-US" sz="1100" b="0" i="0" u="none" strike="noStrike">
              <a:solidFill>
                <a:srgbClr val="000000"/>
              </a:solidFill>
              <a:latin typeface="Calibri"/>
              <a:ea typeface="Calibri"/>
              <a:cs typeface="Calibri"/>
            </a:rPr>
            <a:t> </a:t>
          </a:fld>
          <a:endParaRPr lang="pt-BR" sz="3600" b="1" i="0" u="none" strike="noStrike">
            <a:solidFill>
              <a:schemeClr val="bg1"/>
            </a:solidFill>
            <a:latin typeface="Calibri"/>
            <a:ea typeface="Calibri"/>
            <a:cs typeface="Calibri"/>
          </a:endParaRPr>
        </a:p>
      </xdr:txBody>
    </xdr:sp>
    <xdr:clientData/>
  </xdr:one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lmeida" refreshedDate="46275.767579513886" missingItemsLimit="0" createdVersion="8" refreshedVersion="8" minRefreshableVersion="3" recordCount="6" xr:uid="{8C46BE9D-57DA-4C66-A036-5E2A53099648}">
  <cacheSource type="worksheet">
    <worksheetSource name="Table1"/>
  </cacheSource>
  <cacheFields count="7">
    <cacheField name="Data" numFmtId="0">
      <sharedItems count="3">
        <s v="2026-01"/>
        <s v="2026-02"/>
        <s v="2026-03"/>
      </sharedItems>
    </cacheField>
    <cacheField name="Categoria" numFmtId="0">
      <sharedItems count="3">
        <s v="Notebook"/>
        <s v="Monitor"/>
        <s v="Mouse"/>
      </sharedItems>
    </cacheField>
    <cacheField name="Produto" numFmtId="0">
      <sharedItems count="4">
        <s v="Dell"/>
        <s v="LG"/>
        <s v="Lenovo"/>
        <s v="Logitech"/>
      </sharedItems>
    </cacheField>
    <cacheField name="Região" numFmtId="0">
      <sharedItems count="3">
        <s v="Nordeste"/>
        <s v="Sudeste"/>
        <s v="Sul"/>
      </sharedItems>
    </cacheField>
    <cacheField name="Vendedor" numFmtId="0">
      <sharedItems count="4">
        <s v="João"/>
        <s v="Maria"/>
        <s v="Carlos"/>
        <s v="Ana"/>
      </sharedItems>
    </cacheField>
    <cacheField name="Quantidade" numFmtId="0">
      <sharedItems containsSemiMixedTypes="0" containsString="0" containsNumber="1" containsInteger="1" minValue="12" maxValue="40" count="6">
        <n v="12"/>
        <n v="20"/>
        <n v="15"/>
        <n v="40"/>
        <n v="25"/>
        <n v="18"/>
      </sharedItems>
    </cacheField>
    <cacheField name="Faturamento" numFmtId="0">
      <sharedItems containsSemiMixedTypes="0" containsString="0" containsNumber="1" containsInteger="1" minValue="8000" maxValue="72000" count="6">
        <n v="48000"/>
        <n v="18000"/>
        <n v="60000"/>
        <n v="8000"/>
        <n v="22500"/>
        <n v="72000"/>
      </sharedItems>
    </cacheField>
  </cacheFields>
  <extLst>
    <ext xmlns:x14="http://schemas.microsoft.com/office/spreadsheetml/2009/9/main" uri="{725AE2AE-9491-48be-B2B4-4EB974FC3084}">
      <x14:pivotCacheDefinition pivotCacheId="211536193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
  <r>
    <x v="0"/>
    <x v="0"/>
    <x v="0"/>
    <x v="0"/>
    <x v="0"/>
    <x v="0"/>
    <x v="0"/>
  </r>
  <r>
    <x v="0"/>
    <x v="1"/>
    <x v="1"/>
    <x v="1"/>
    <x v="1"/>
    <x v="1"/>
    <x v="1"/>
  </r>
  <r>
    <x v="1"/>
    <x v="0"/>
    <x v="2"/>
    <x v="0"/>
    <x v="0"/>
    <x v="2"/>
    <x v="2"/>
  </r>
  <r>
    <x v="1"/>
    <x v="2"/>
    <x v="3"/>
    <x v="2"/>
    <x v="2"/>
    <x v="3"/>
    <x v="3"/>
  </r>
  <r>
    <x v="2"/>
    <x v="1"/>
    <x v="1"/>
    <x v="0"/>
    <x v="3"/>
    <x v="4"/>
    <x v="4"/>
  </r>
  <r>
    <x v="2"/>
    <x v="0"/>
    <x v="0"/>
    <x v="1"/>
    <x v="1"/>
    <x v="5"/>
    <x v="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433F694-F8CF-42D0-B04C-AF88ED991FF7}" name="PivotTable17" cacheId="1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A3:B5" firstHeaderRow="1" firstDataRow="1" firstDataCol="1"/>
  <pivotFields count="7">
    <pivotField showAll="0"/>
    <pivotField showAll="0"/>
    <pivotField showAll="0">
      <items count="5">
        <item x="0"/>
        <item x="2"/>
        <item x="1"/>
        <item x="3"/>
        <item t="default"/>
      </items>
    </pivotField>
    <pivotField axis="axisRow" showAll="0">
      <items count="4">
        <item x="0"/>
        <item h="1" x="1"/>
        <item h="1" x="2"/>
        <item t="default"/>
      </items>
    </pivotField>
    <pivotField showAll="0"/>
    <pivotField showAll="0"/>
    <pivotField dataField="1" showAll="0"/>
  </pivotFields>
  <rowFields count="1">
    <field x="3"/>
  </rowFields>
  <rowItems count="2">
    <i>
      <x/>
    </i>
    <i t="grand">
      <x/>
    </i>
  </rowItems>
  <colItems count="1">
    <i/>
  </colItems>
  <dataFields count="1">
    <dataField name="Sum of Faturamento" fld="6"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4A00E89-3244-4FCD-99C5-FB288BE82E9A}" name="PivotTable23" cacheId="14" applyNumberFormats="0" applyBorderFormats="0" applyFontFormats="0" applyPatternFormats="0" applyAlignmentFormats="0" applyWidthHeightFormats="1" dataCaption="Values" updatedVersion="8" minRefreshableVersion="3" rowGrandTotals="0" colGrandTotals="0" itemPrintTitles="1" createdVersion="8" indent="0" outline="1" outlineData="1" multipleFieldFilters="0" chartFormat="110">
  <location ref="Q5:R8" firstHeaderRow="1" firstDataRow="1" firstDataCol="1" rowPageCount="1" colPageCount="1"/>
  <pivotFields count="7">
    <pivotField showAll="0" maxSubtotal="1">
      <items count="4">
        <item x="0"/>
        <item x="1"/>
        <item x="2"/>
        <item t="max"/>
      </items>
    </pivotField>
    <pivotField showAll="0">
      <items count="4">
        <item x="1"/>
        <item x="2"/>
        <item x="0"/>
        <item t="default"/>
      </items>
    </pivotField>
    <pivotField axis="axisRow" showAll="0">
      <items count="5">
        <item x="0"/>
        <item x="2"/>
        <item x="1"/>
        <item x="3"/>
        <item t="default"/>
      </items>
    </pivotField>
    <pivotField axis="axisPage" multipleItemSelectionAllowed="1" showAll="0">
      <items count="4">
        <item x="0"/>
        <item h="1" x="1"/>
        <item h="1" x="2"/>
        <item t="default"/>
      </items>
    </pivotField>
    <pivotField showAll="0">
      <items count="5">
        <item x="3"/>
        <item x="2"/>
        <item x="0"/>
        <item x="1"/>
        <item t="default"/>
      </items>
    </pivotField>
    <pivotField showAll="0">
      <items count="7">
        <item x="0"/>
        <item x="2"/>
        <item x="5"/>
        <item x="1"/>
        <item x="4"/>
        <item x="3"/>
        <item t="default"/>
      </items>
    </pivotField>
    <pivotField dataField="1" showAll="0">
      <items count="7">
        <item x="3"/>
        <item x="1"/>
        <item x="4"/>
        <item x="0"/>
        <item x="2"/>
        <item x="5"/>
        <item t="default"/>
      </items>
    </pivotField>
  </pivotFields>
  <rowFields count="1">
    <field x="2"/>
  </rowFields>
  <rowItems count="3">
    <i>
      <x/>
    </i>
    <i>
      <x v="1"/>
    </i>
    <i>
      <x v="2"/>
    </i>
  </rowItems>
  <colItems count="1">
    <i/>
  </colItems>
  <pageFields count="1">
    <pageField fld="3" hier="-1"/>
  </pageFields>
  <dataFields count="1">
    <dataField name="Soma de Faturamento" fld="6" baseField="0" baseItem="0"/>
  </dataFields>
  <chartFormats count="4">
    <chartFormat chart="87" format="9" series="1">
      <pivotArea type="data" outline="0" fieldPosition="0"/>
    </chartFormat>
    <chartFormat chart="76" format="15" series="1">
      <pivotArea type="data" outline="0" fieldPosition="0"/>
    </chartFormat>
    <chartFormat chart="87" format="12" series="1">
      <pivotArea type="data" outline="0" fieldPosition="0">
        <references count="1">
          <reference field="4294967294" count="1" selected="0">
            <x v="0"/>
          </reference>
        </references>
      </pivotArea>
    </chartFormat>
    <chartFormat chart="76" format="18"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84FDFFB-3E16-412D-8005-00DA090BEE40}" name="PivotTable22" cacheId="14" applyNumberFormats="0" applyBorderFormats="0" applyFontFormats="0" applyPatternFormats="0" applyAlignmentFormats="0" applyWidthHeightFormats="1" dataCaption="Values" updatedVersion="8" minRefreshableVersion="3" rowGrandTotals="0" colGrandTotals="0" itemPrintTitles="1" createdVersion="8" indent="0" outline="1" outlineData="1" multipleFieldFilters="0" chartFormat="79">
  <location ref="K2:L6" firstHeaderRow="1" firstDataRow="2" firstDataCol="1"/>
  <pivotFields count="7">
    <pivotField showAll="0">
      <items count="4">
        <item x="0"/>
        <item x="1"/>
        <item x="2"/>
        <item t="default"/>
      </items>
    </pivotField>
    <pivotField showAll="0">
      <items count="4">
        <item x="1"/>
        <item x="2"/>
        <item x="0"/>
        <item t="default"/>
      </items>
    </pivotField>
    <pivotField axis="axisRow" showAll="0">
      <items count="5">
        <item x="0"/>
        <item x="2"/>
        <item x="1"/>
        <item x="3"/>
        <item t="default"/>
      </items>
    </pivotField>
    <pivotField axis="axisCol" showAll="0">
      <items count="4">
        <item x="0"/>
        <item h="1" x="1"/>
        <item h="1" x="2"/>
        <item t="default"/>
      </items>
    </pivotField>
    <pivotField showAll="0"/>
    <pivotField dataField="1" showAll="0"/>
    <pivotField showAll="0"/>
  </pivotFields>
  <rowFields count="1">
    <field x="2"/>
  </rowFields>
  <rowItems count="3">
    <i>
      <x/>
    </i>
    <i>
      <x v="1"/>
    </i>
    <i>
      <x v="2"/>
    </i>
  </rowItems>
  <colFields count="1">
    <field x="3"/>
  </colFields>
  <colItems count="1">
    <i>
      <x/>
    </i>
  </colItems>
  <dataFields count="1">
    <dataField name="Sum of Quantidade" fld="5" baseField="0" baseItem="0"/>
  </dataFields>
  <chartFormats count="6">
    <chartFormat chart="72" format="19" series="1">
      <pivotArea type="data" outline="0" fieldPosition="0">
        <references count="1">
          <reference field="4294967294" count="1" selected="0">
            <x v="0"/>
          </reference>
        </references>
      </pivotArea>
    </chartFormat>
    <chartFormat chart="72" format="20">
      <pivotArea type="data" outline="0" fieldPosition="0">
        <references count="1">
          <reference field="4294967294" count="1" selected="0">
            <x v="0"/>
          </reference>
        </references>
      </pivotArea>
    </chartFormat>
    <chartFormat chart="72" format="21">
      <pivotArea type="data" outline="0" fieldPosition="0">
        <references count="2">
          <reference field="4294967294" count="1" selected="0">
            <x v="0"/>
          </reference>
          <reference field="2" count="1" selected="0">
            <x v="0"/>
          </reference>
        </references>
      </pivotArea>
    </chartFormat>
    <chartFormat chart="72" format="22">
      <pivotArea type="data" outline="0" fieldPosition="0">
        <references count="2">
          <reference field="4294967294" count="1" selected="0">
            <x v="0"/>
          </reference>
          <reference field="2" count="1" selected="0">
            <x v="2"/>
          </reference>
        </references>
      </pivotArea>
    </chartFormat>
    <chartFormat chart="72" format="23" series="1">
      <pivotArea type="data" outline="0" fieldPosition="0">
        <references count="2">
          <reference field="4294967294" count="1" selected="0">
            <x v="0"/>
          </reference>
          <reference field="3" count="1" selected="0">
            <x v="1"/>
          </reference>
        </references>
      </pivotArea>
    </chartFormat>
    <chartFormat chart="72" format="24" series="1">
      <pivotArea type="data" outline="0" fieldPosition="0">
        <references count="2">
          <reference field="4294967294" count="1" selected="0">
            <x v="0"/>
          </reference>
          <reference field="3"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E6961284-BDAC-4ECA-B048-C01DB29233F4}" name="PivotTable21" cacheId="14"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60">
  <location ref="E3:G8" firstHeaderRow="1" firstDataRow="2" firstDataCol="1"/>
  <pivotFields count="7">
    <pivotField showAll="0"/>
    <pivotField showAll="0"/>
    <pivotField axis="axisRow" showAll="0">
      <items count="5">
        <item x="0"/>
        <item x="2"/>
        <item x="1"/>
        <item x="3"/>
        <item t="default"/>
      </items>
    </pivotField>
    <pivotField axis="axisCol" showAll="0">
      <items count="4">
        <item x="0"/>
        <item h="1" x="1"/>
        <item h="1" x="2"/>
        <item t="default"/>
      </items>
    </pivotField>
    <pivotField showAll="0"/>
    <pivotField showAll="0"/>
    <pivotField dataField="1" showAll="0"/>
  </pivotFields>
  <rowFields count="1">
    <field x="2"/>
  </rowFields>
  <rowItems count="4">
    <i>
      <x/>
    </i>
    <i>
      <x v="1"/>
    </i>
    <i>
      <x v="2"/>
    </i>
    <i t="grand">
      <x/>
    </i>
  </rowItems>
  <colFields count="1">
    <field x="3"/>
  </colFields>
  <colItems count="2">
    <i>
      <x/>
    </i>
    <i t="grand">
      <x/>
    </i>
  </colItems>
  <dataFields count="1">
    <dataField name="Sum of Faturamento" fld="6" baseField="0" baseItem="0"/>
  </dataFields>
  <formats count="1">
    <format dxfId="8">
      <pivotArea field="2" grandCol="1" collapsedLevelsAreSubtotals="1" axis="axisRow" fieldPosition="0">
        <references count="1">
          <reference field="2" count="3">
            <x v="0"/>
            <x v="1"/>
            <x v="2"/>
          </reference>
        </references>
      </pivotArea>
    </format>
  </formats>
  <chartFormats count="11">
    <chartFormat chart="10" format="0" series="1">
      <pivotArea type="data" outline="0" fieldPosition="0">
        <references count="2">
          <reference field="4294967294" count="1" selected="0">
            <x v="0"/>
          </reference>
          <reference field="3" count="1" selected="0">
            <x v="0"/>
          </reference>
        </references>
      </pivotArea>
    </chartFormat>
    <chartFormat chart="10" format="1" series="1">
      <pivotArea type="data" outline="0" fieldPosition="0">
        <references count="2">
          <reference field="4294967294" count="1" selected="0">
            <x v="0"/>
          </reference>
          <reference field="3" count="1" selected="0">
            <x v="1"/>
          </reference>
        </references>
      </pivotArea>
    </chartFormat>
    <chartFormat chart="10" format="2" series="1">
      <pivotArea type="data" outline="0" fieldPosition="0">
        <references count="2">
          <reference field="4294967294" count="1" selected="0">
            <x v="0"/>
          </reference>
          <reference field="3" count="1" selected="0">
            <x v="2"/>
          </reference>
        </references>
      </pivotArea>
    </chartFormat>
    <chartFormat chart="47" format="4" series="1">
      <pivotArea type="data" outline="0" fieldPosition="0">
        <references count="2">
          <reference field="4294967294" count="1" selected="0">
            <x v="0"/>
          </reference>
          <reference field="3" count="1" selected="0">
            <x v="0"/>
          </reference>
        </references>
      </pivotArea>
    </chartFormat>
    <chartFormat chart="47" format="5" series="1">
      <pivotArea type="data" outline="0" fieldPosition="0">
        <references count="2">
          <reference field="4294967294" count="1" selected="0">
            <x v="0"/>
          </reference>
          <reference field="3" count="1" selected="0">
            <x v="1"/>
          </reference>
        </references>
      </pivotArea>
    </chartFormat>
    <chartFormat chart="47" format="6" series="1">
      <pivotArea type="data" outline="0" fieldPosition="0">
        <references count="2">
          <reference field="4294967294" count="1" selected="0">
            <x v="0"/>
          </reference>
          <reference field="3" count="1" selected="0">
            <x v="2"/>
          </reference>
        </references>
      </pivotArea>
    </chartFormat>
    <chartFormat chart="47" format="7">
      <pivotArea type="data" outline="0" fieldPosition="0">
        <references count="3">
          <reference field="4294967294" count="1" selected="0">
            <x v="0"/>
          </reference>
          <reference field="2" count="1" selected="0">
            <x v="3"/>
          </reference>
          <reference field="3" count="1" selected="0">
            <x v="2"/>
          </reference>
        </references>
      </pivotArea>
    </chartFormat>
    <chartFormat chart="47" format="8">
      <pivotArea type="data" outline="0" fieldPosition="0">
        <references count="3">
          <reference field="4294967294" count="1" selected="0">
            <x v="0"/>
          </reference>
          <reference field="2" count="1" selected="0">
            <x v="0"/>
          </reference>
          <reference field="3" count="1" selected="0">
            <x v="1"/>
          </reference>
        </references>
      </pivotArea>
    </chartFormat>
    <chartFormat chart="47" format="9">
      <pivotArea type="data" outline="0" fieldPosition="0">
        <references count="3">
          <reference field="4294967294" count="1" selected="0">
            <x v="0"/>
          </reference>
          <reference field="2" count="1" selected="0">
            <x v="2"/>
          </reference>
          <reference field="3" count="1" selected="0">
            <x v="1"/>
          </reference>
        </references>
      </pivotArea>
    </chartFormat>
    <chartFormat chart="47" format="10">
      <pivotArea type="data" outline="0" fieldPosition="0">
        <references count="3">
          <reference field="4294967294" count="1" selected="0">
            <x v="0"/>
          </reference>
          <reference field="2" count="1" selected="0">
            <x v="2"/>
          </reference>
          <reference field="3" count="1" selected="0">
            <x v="0"/>
          </reference>
        </references>
      </pivotArea>
    </chartFormat>
    <chartFormat chart="47" format="11">
      <pivotArea type="data" outline="0" fieldPosition="0">
        <references count="3">
          <reference field="4294967294" count="1" selected="0">
            <x v="0"/>
          </reference>
          <reference field="2" count="1" selected="0">
            <x v="1"/>
          </reference>
          <reference field="3"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ão1" xr10:uid="{A2D06647-124A-400F-9527-46A5A776DDB4}" sourceName="Região">
  <pivotTables>
    <pivotTable tabId="23" name="PivotTable17"/>
    <pivotTable tabId="23" name="PivotTable21"/>
    <pivotTable tabId="23" name="PivotTable22"/>
    <pivotTable tabId="23" name="PivotTable23"/>
  </pivotTables>
  <data>
    <tabular pivotCacheId="2115361935" customListSort="0">
      <items count="3">
        <i x="0" s="1"/>
        <i x="1"/>
        <i x="2"/>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ão" xr10:uid="{E4010A4F-BA33-48C9-8F4F-02AC564A707E}" cache="Slicer_Região1" caption="Região" showCaption="0" style="SlicerStyleDark4"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ão 1" xr10:uid="{87C1E68D-E1D9-4C59-A53C-B7D59741C5BD}" cache="Slicer_Região1" caption="Região" columnCount="3" showCaption="0" style="SlicerStyleDark4" rowHeight="3240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F6BCC17-A049-4613-AD19-851E00F94B15}" name="Table1" displayName="Table1" ref="A1:J5" totalsRowCount="1" headerRowDxfId="9" dataCellStyle="Ênfase4">
  <autoFilter ref="A1:J4" xr:uid="{DF6BCC17-A049-4613-AD19-851E00F94B15}"/>
  <tableColumns count="10">
    <tableColumn id="1" xr3:uid="{512603A3-0A1C-49D3-9C1B-239626F15349}" name="Data" dataCellStyle="Ênfase4"/>
    <tableColumn id="2" xr3:uid="{0CCA0E49-70D1-422F-B1D3-587CAFB47E74}" name="Categoria" dataCellStyle="Ênfase4"/>
    <tableColumn id="3" xr3:uid="{45679830-D66A-4738-85DB-E29B904E92EA}" name="Produto" dataCellStyle="Ênfase4"/>
    <tableColumn id="4" xr3:uid="{C0DA7ED6-D619-494C-AA4B-2633C9581D73}" name="Região" dataCellStyle="Ênfase4"/>
    <tableColumn id="5" xr3:uid="{0D1B3D93-22F0-4938-9BDC-5F32C740B6DF}" name="Vendedor" dataCellStyle="Ênfase4"/>
    <tableColumn id="6" xr3:uid="{70BDFD78-45EC-4487-B074-F4DEDD96C4DB}" name="Quantidade" dataCellStyle="Ênfase4"/>
    <tableColumn id="7" xr3:uid="{4F8C57DC-2130-4B6D-8774-283BCAB902C7}" name="Faturamento" dataDxfId="7" dataCellStyle="Ênfase4"/>
    <tableColumn id="8" xr3:uid="{B05CB9E8-D889-4697-9FDD-9B062812659B}" name="PERIODO" dataCellStyle="Ênfase4"/>
    <tableColumn id="9" xr3:uid="{16E26F25-BEBD-42D0-BAD3-D55F17D2288A}" name="UNIDADE" dataCellStyle="Ênfase4"/>
    <tableColumn id="10" xr3:uid="{B0654E06-0DD7-4E6E-8E58-C2F841AEF1B1}" name="VENDAS" dataDxfId="6" dataCellStyle="Ênfase4"/>
  </tableColumns>
  <tableStyleInfo name="TableStyleMedium3"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45C2221C-2F55-4E79-92EF-3D28EBD493F4}" name="Tabela5" displayName="Tabela5" ref="E13:G16" totalsRowShown="0">
  <autoFilter ref="E13:G16" xr:uid="{45C2221C-2F55-4E79-92EF-3D28EBD493F4}"/>
  <tableColumns count="3">
    <tableColumn id="1" xr3:uid="{E82DF0DF-B57C-4AC2-B7B0-DBEF07D85758}" name="PERIODO"/>
    <tableColumn id="2" xr3:uid="{296EA014-C892-46DD-8F13-59D5863078CA}" name="UNIDADE"/>
    <tableColumn id="3" xr3:uid="{0FF83388-8684-4F52-BC4F-FE4E6E2DD982}" name="VENDAS" dataDxfId="5"/>
  </tableColumns>
  <tableStyleInfo name="TableStyleLight8"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xDef>
      <a:spPr>
        <a:noFill/>
      </a:spPr>
      <a:bodyPr vertOverflow="clip" horzOverflow="clip" wrap="square" rtlCol="0" anchor="t">
        <a:spAutoFit/>
      </a:bodyPr>
      <a:lstStyle>
        <a:defPPr algn="l">
          <a:defRPr sz="3600" b="1" i="0" u="none" strike="noStrike">
            <a:solidFill>
              <a:schemeClr val="bg1"/>
            </a:solidFill>
            <a:latin typeface="Calibri"/>
            <a:ea typeface="Calibri"/>
            <a:cs typeface="Calibri"/>
          </a:defRPr>
        </a:defPPr>
      </a:lstStyle>
      <a:style>
        <a:lnRef idx="0">
          <a:scrgbClr r="0" g="0" b="0"/>
        </a:lnRef>
        <a:fillRef idx="0">
          <a:scrgbClr r="0" g="0" b="0"/>
        </a:fillRef>
        <a:effectRef idx="0">
          <a:scrgbClr r="0" g="0" b="0"/>
        </a:effectRef>
        <a:fontRef idx="minor">
          <a:schemeClr val="tx1"/>
        </a:fontRef>
      </a:style>
    </a:tx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7" Type="http://schemas.microsoft.com/office/2007/relationships/slicer" Target="../slicers/slicer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table" Target="../tables/table2.xml"/><Relationship Id="rId5" Type="http://schemas.openxmlformats.org/officeDocument/2006/relationships/drawing" Target="../drawings/drawing1.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3.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Planilha2"/>
  <dimension ref="A1:J4"/>
  <sheetViews>
    <sheetView workbookViewId="0">
      <selection activeCell="L20" sqref="L20"/>
    </sheetView>
  </sheetViews>
  <sheetFormatPr defaultRowHeight="15" x14ac:dyDescent="0.25"/>
  <cols>
    <col min="1" max="1" width="11.140625" bestFit="1" customWidth="1"/>
    <col min="2" max="2" width="11.7109375" bestFit="1" customWidth="1"/>
    <col min="3" max="3" width="10.42578125" bestFit="1" customWidth="1"/>
    <col min="4" max="4" width="9.28515625" bestFit="1" customWidth="1"/>
    <col min="5" max="5" width="12.140625" bestFit="1" customWidth="1"/>
    <col min="6" max="6" width="13.7109375" bestFit="1" customWidth="1"/>
    <col min="7" max="7" width="14.7109375" bestFit="1" customWidth="1"/>
    <col min="8" max="8" width="11.28515625" bestFit="1" customWidth="1"/>
    <col min="9" max="9" width="11.5703125" bestFit="1" customWidth="1"/>
    <col min="10" max="10" width="14.28515625" bestFit="1" customWidth="1"/>
  </cols>
  <sheetData>
    <row r="1" spans="1:10" x14ac:dyDescent="0.25">
      <c r="A1" s="1" t="s">
        <v>0</v>
      </c>
      <c r="B1" s="1" t="s">
        <v>1</v>
      </c>
      <c r="C1" s="1" t="s">
        <v>2</v>
      </c>
      <c r="D1" s="1" t="s">
        <v>3</v>
      </c>
      <c r="E1" s="1" t="s">
        <v>4</v>
      </c>
      <c r="F1" s="1" t="s">
        <v>5</v>
      </c>
      <c r="G1" s="6" t="s">
        <v>6</v>
      </c>
      <c r="H1" t="s">
        <v>34</v>
      </c>
      <c r="I1" t="s">
        <v>31</v>
      </c>
      <c r="J1" s="9" t="s">
        <v>30</v>
      </c>
    </row>
    <row r="2" spans="1:10" x14ac:dyDescent="0.25">
      <c r="A2" s="11" t="s">
        <v>7</v>
      </c>
      <c r="B2" s="11" t="s">
        <v>8</v>
      </c>
      <c r="C2" s="11" t="s">
        <v>9</v>
      </c>
      <c r="D2" s="11" t="s">
        <v>10</v>
      </c>
      <c r="E2" s="11" t="s">
        <v>11</v>
      </c>
      <c r="F2" s="11">
        <v>12</v>
      </c>
      <c r="G2" s="12">
        <v>48000</v>
      </c>
      <c r="H2" s="11" t="s">
        <v>35</v>
      </c>
      <c r="I2" s="11" t="s">
        <v>29</v>
      </c>
      <c r="J2" s="12">
        <v>66000</v>
      </c>
    </row>
    <row r="3" spans="1:10" x14ac:dyDescent="0.25">
      <c r="A3" s="11" t="s">
        <v>7</v>
      </c>
      <c r="B3" s="11" t="s">
        <v>12</v>
      </c>
      <c r="C3" s="11" t="s">
        <v>13</v>
      </c>
      <c r="D3" s="11" t="s">
        <v>14</v>
      </c>
      <c r="E3" s="11" t="s">
        <v>15</v>
      </c>
      <c r="F3" s="11">
        <v>20</v>
      </c>
      <c r="G3" s="12">
        <v>18000</v>
      </c>
      <c r="H3" s="11" t="s">
        <v>36</v>
      </c>
      <c r="I3" s="11" t="s">
        <v>32</v>
      </c>
      <c r="J3" s="12">
        <v>68000</v>
      </c>
    </row>
    <row r="4" spans="1:10" x14ac:dyDescent="0.25">
      <c r="A4" s="11" t="s">
        <v>16</v>
      </c>
      <c r="B4" s="11" t="s">
        <v>8</v>
      </c>
      <c r="C4" s="11" t="s">
        <v>17</v>
      </c>
      <c r="D4" s="11" t="s">
        <v>10</v>
      </c>
      <c r="E4" s="11" t="s">
        <v>11</v>
      </c>
      <c r="F4" s="11">
        <v>15</v>
      </c>
      <c r="G4" s="12">
        <v>60000</v>
      </c>
      <c r="H4" s="11" t="s">
        <v>37</v>
      </c>
      <c r="I4" s="11" t="s">
        <v>33</v>
      </c>
      <c r="J4" s="12">
        <v>98500</v>
      </c>
    </row>
  </sheetData>
  <conditionalFormatting sqref="A1:J5">
    <cfRule type="duplicateValues" dxfId="4" priority="2"/>
  </conditionalFormatting>
  <pageMargins left="0.75" right="0.75" top="1" bottom="1" header="0.5" footer="0.5"/>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D9F814-BA19-4FA8-AC30-C0B370548CED}">
  <sheetPr codeName="Planilha3"/>
  <dimension ref="A2:R22"/>
  <sheetViews>
    <sheetView topLeftCell="A2" workbookViewId="0">
      <selection activeCell="G23" sqref="G23"/>
    </sheetView>
  </sheetViews>
  <sheetFormatPr defaultRowHeight="15" x14ac:dyDescent="0.25"/>
  <cols>
    <col min="1" max="1" width="18" bestFit="1" customWidth="1"/>
    <col min="2" max="2" width="19.28515625" bestFit="1" customWidth="1"/>
    <col min="3" max="3" width="11.28515625" bestFit="1" customWidth="1"/>
    <col min="4" max="4" width="5" bestFit="1" customWidth="1"/>
    <col min="5" max="5" width="19.28515625" bestFit="1" customWidth="1"/>
    <col min="6" max="6" width="17.28515625" bestFit="1" customWidth="1"/>
    <col min="7" max="7" width="14.28515625" bestFit="1" customWidth="1"/>
    <col min="8" max="8" width="6" bestFit="1" customWidth="1"/>
    <col min="9" max="9" width="11.28515625" bestFit="1" customWidth="1"/>
    <col min="10" max="10" width="9.85546875" bestFit="1" customWidth="1"/>
    <col min="11" max="11" width="18.28515625" bestFit="1" customWidth="1"/>
    <col min="12" max="12" width="17.28515625" bestFit="1" customWidth="1"/>
    <col min="13" max="13" width="8.140625" bestFit="1" customWidth="1"/>
    <col min="14" max="14" width="3.7109375" bestFit="1" customWidth="1"/>
    <col min="15" max="15" width="11.28515625" bestFit="1" customWidth="1"/>
    <col min="16" max="16" width="2.140625" customWidth="1"/>
    <col min="17" max="17" width="15.7109375" bestFit="1" customWidth="1"/>
    <col min="18" max="18" width="19.28515625" bestFit="1" customWidth="1"/>
    <col min="19" max="19" width="6" bestFit="1" customWidth="1"/>
    <col min="20" max="20" width="19.28515625" bestFit="1" customWidth="1"/>
    <col min="21" max="21" width="16.28515625" bestFit="1" customWidth="1"/>
    <col min="22" max="22" width="11.28515625" bestFit="1" customWidth="1"/>
    <col min="23" max="23" width="7.85546875" bestFit="1" customWidth="1"/>
    <col min="24" max="24" width="11.28515625" bestFit="1" customWidth="1"/>
    <col min="25" max="25" width="9.28515625" bestFit="1" customWidth="1"/>
    <col min="26" max="26" width="7.85546875" bestFit="1" customWidth="1"/>
    <col min="27" max="27" width="11.28515625" bestFit="1" customWidth="1"/>
    <col min="28" max="28" width="11" bestFit="1" customWidth="1"/>
    <col min="29" max="29" width="7.85546875" bestFit="1" customWidth="1"/>
    <col min="30" max="30" width="8.28515625" bestFit="1" customWidth="1"/>
    <col min="31" max="31" width="9.28515625" bestFit="1" customWidth="1"/>
    <col min="32" max="32" width="7.85546875" bestFit="1" customWidth="1"/>
    <col min="33" max="33" width="8.28515625" bestFit="1" customWidth="1"/>
    <col min="34" max="34" width="11.28515625" bestFit="1" customWidth="1"/>
    <col min="35" max="35" width="7.85546875" bestFit="1" customWidth="1"/>
    <col min="36" max="36" width="11.28515625" bestFit="1" customWidth="1"/>
  </cols>
  <sheetData>
    <row r="2" spans="1:18" x14ac:dyDescent="0.25">
      <c r="K2" s="4" t="s">
        <v>24</v>
      </c>
      <c r="L2" s="4" t="s">
        <v>27</v>
      </c>
    </row>
    <row r="3" spans="1:18" x14ac:dyDescent="0.25">
      <c r="A3" s="4" t="s">
        <v>25</v>
      </c>
      <c r="B3" t="s">
        <v>23</v>
      </c>
      <c r="E3" s="4" t="s">
        <v>23</v>
      </c>
      <c r="F3" s="4" t="s">
        <v>27</v>
      </c>
      <c r="K3" s="4" t="s">
        <v>25</v>
      </c>
      <c r="L3" t="s">
        <v>10</v>
      </c>
      <c r="Q3" s="4" t="s">
        <v>3</v>
      </c>
      <c r="R3" t="s">
        <v>10</v>
      </c>
    </row>
    <row r="4" spans="1:18" x14ac:dyDescent="0.25">
      <c r="A4" s="5" t="s">
        <v>10</v>
      </c>
      <c r="B4" s="10">
        <v>130500</v>
      </c>
      <c r="E4" s="4" t="s">
        <v>25</v>
      </c>
      <c r="F4" t="s">
        <v>10</v>
      </c>
      <c r="G4" t="s">
        <v>26</v>
      </c>
      <c r="K4" s="5" t="s">
        <v>9</v>
      </c>
      <c r="L4" s="10">
        <v>12</v>
      </c>
    </row>
    <row r="5" spans="1:18" x14ac:dyDescent="0.25">
      <c r="A5" s="5" t="s">
        <v>26</v>
      </c>
      <c r="B5" s="10">
        <v>130500</v>
      </c>
      <c r="E5" s="5" t="s">
        <v>9</v>
      </c>
      <c r="F5" s="10">
        <v>48000</v>
      </c>
      <c r="G5" s="9">
        <v>48000</v>
      </c>
      <c r="K5" s="5" t="s">
        <v>17</v>
      </c>
      <c r="L5" s="10">
        <v>15</v>
      </c>
      <c r="Q5" s="4" t="s">
        <v>25</v>
      </c>
      <c r="R5" t="s">
        <v>28</v>
      </c>
    </row>
    <row r="6" spans="1:18" x14ac:dyDescent="0.25">
      <c r="E6" s="5" t="s">
        <v>17</v>
      </c>
      <c r="F6" s="10">
        <v>60000</v>
      </c>
      <c r="G6" s="9">
        <v>60000</v>
      </c>
      <c r="K6" s="5" t="s">
        <v>13</v>
      </c>
      <c r="L6" s="10">
        <v>25</v>
      </c>
      <c r="Q6" s="5" t="s">
        <v>9</v>
      </c>
      <c r="R6" s="10">
        <v>48000</v>
      </c>
    </row>
    <row r="7" spans="1:18" x14ac:dyDescent="0.25">
      <c r="E7" s="5" t="s">
        <v>13</v>
      </c>
      <c r="F7" s="10">
        <v>22500</v>
      </c>
      <c r="G7" s="9">
        <v>22500</v>
      </c>
      <c r="Q7" s="5" t="s">
        <v>17</v>
      </c>
      <c r="R7" s="10">
        <v>60000</v>
      </c>
    </row>
    <row r="8" spans="1:18" x14ac:dyDescent="0.25">
      <c r="E8" s="5" t="s">
        <v>26</v>
      </c>
      <c r="F8" s="10">
        <v>130500</v>
      </c>
      <c r="G8" s="10">
        <v>130500</v>
      </c>
      <c r="Q8" s="5" t="s">
        <v>13</v>
      </c>
      <c r="R8" s="10">
        <v>22500</v>
      </c>
    </row>
    <row r="9" spans="1:18" x14ac:dyDescent="0.25">
      <c r="R9">
        <f>SUM(R6:R8)</f>
        <v>130500</v>
      </c>
    </row>
    <row r="13" spans="1:18" x14ac:dyDescent="0.25">
      <c r="E13" t="s">
        <v>34</v>
      </c>
      <c r="F13" t="s">
        <v>31</v>
      </c>
      <c r="G13" s="9" t="s">
        <v>30</v>
      </c>
      <c r="I13" t="s">
        <v>31</v>
      </c>
      <c r="J13" t="s">
        <v>30</v>
      </c>
    </row>
    <row r="14" spans="1:18" x14ac:dyDescent="0.25">
      <c r="E14" t="s">
        <v>35</v>
      </c>
      <c r="F14" t="s">
        <v>29</v>
      </c>
      <c r="G14" s="9">
        <v>66000</v>
      </c>
      <c r="I14" t="s">
        <v>29</v>
      </c>
    </row>
    <row r="15" spans="1:18" x14ac:dyDescent="0.25">
      <c r="E15" t="s">
        <v>36</v>
      </c>
      <c r="F15" t="s">
        <v>32</v>
      </c>
      <c r="G15" s="9">
        <v>68000</v>
      </c>
    </row>
    <row r="16" spans="1:18" x14ac:dyDescent="0.25">
      <c r="E16" t="s">
        <v>37</v>
      </c>
      <c r="F16" t="s">
        <v>33</v>
      </c>
      <c r="G16" s="9">
        <v>98500</v>
      </c>
    </row>
    <row r="17" spans="7:11" x14ac:dyDescent="0.25">
      <c r="G17" s="9">
        <f>SUM(G14:G16)</f>
        <v>232500</v>
      </c>
    </row>
    <row r="22" spans="7:11" x14ac:dyDescent="0.25">
      <c r="K22" s="9"/>
    </row>
  </sheetData>
  <pageMargins left="0.7" right="0.7" top="0.75" bottom="0.75" header="0.3" footer="0.3"/>
  <drawing r:id="rId5"/>
  <tableParts count="1">
    <tablePart r:id="rId6"/>
  </tableParts>
  <extLst>
    <ext xmlns:x14="http://schemas.microsoft.com/office/spreadsheetml/2009/9/main" uri="{05C60535-1F16-4fd2-B633-F4F36F0B64E0}">
      <x14:sparklineGroups xmlns:xm="http://schemas.microsoft.com/office/excel/2006/main">
        <x14:sparklineGroup manualMax="0" manualMin="0" displayEmptyCellsAs="gap" xr2:uid="{CC1EAFAA-C5C3-4024-B98C-02CFE4250F7C}">
          <x14:colorSeries rgb="FF376092"/>
          <x14:colorNegative rgb="FFD00000"/>
          <x14:colorAxis rgb="FF000000"/>
          <x14:colorMarkers rgb="FFD00000"/>
          <x14:colorFirst rgb="FFD00000"/>
          <x14:colorLast rgb="FFD00000"/>
          <x14:colorHigh rgb="FFD00000"/>
          <x14:colorLow rgb="FFD00000"/>
          <x14:sparklines>
            <x14:sparkline>
              <xm:f>Sheet7!Q6:Q6</xm:f>
              <xm:sqref>Q7</xm:sqref>
            </x14:sparkline>
          </x14:sparklines>
        </x14:sparklineGroup>
      </x14:sparklineGroups>
    </ext>
    <ext xmlns:x14="http://schemas.microsoft.com/office/spreadsheetml/2009/9/main" uri="{A8765BA9-456A-4dab-B4F3-ACF838C121DE}">
      <x14:slicerList>
        <x14:slicer r:id="rId7"/>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Planilha4"/>
  <dimension ref="A1:E5"/>
  <sheetViews>
    <sheetView workbookViewId="0">
      <selection activeCell="E2" sqref="E2"/>
    </sheetView>
  </sheetViews>
  <sheetFormatPr defaultRowHeight="15" x14ac:dyDescent="0.25"/>
  <cols>
    <col min="1" max="1" width="27.7109375" bestFit="1" customWidth="1"/>
    <col min="2" max="2" width="12" bestFit="1" customWidth="1"/>
    <col min="4" max="4" width="9.85546875" bestFit="1" customWidth="1"/>
    <col min="5" max="5" width="12.42578125" bestFit="1" customWidth="1"/>
  </cols>
  <sheetData>
    <row r="1" spans="1:5" ht="21" x14ac:dyDescent="0.35">
      <c r="A1" s="2" t="s">
        <v>19</v>
      </c>
      <c r="D1" t="s">
        <v>1</v>
      </c>
      <c r="E1" t="s">
        <v>6</v>
      </c>
    </row>
    <row r="2" spans="1:5" x14ac:dyDescent="0.25">
      <c r="D2" t="s">
        <v>8</v>
      </c>
      <c r="E2">
        <v>180000</v>
      </c>
    </row>
    <row r="3" spans="1:5" x14ac:dyDescent="0.25">
      <c r="A3" t="s">
        <v>20</v>
      </c>
      <c r="B3">
        <f>SUM(Base_Dados!G2:G1000)</f>
        <v>126000</v>
      </c>
      <c r="D3" t="s">
        <v>12</v>
      </c>
      <c r="E3">
        <v>40500</v>
      </c>
    </row>
    <row r="4" spans="1:5" x14ac:dyDescent="0.25">
      <c r="A4" t="s">
        <v>21</v>
      </c>
      <c r="B4">
        <f>SUM(Base_Dados!F2:F1000)</f>
        <v>47</v>
      </c>
      <c r="D4" t="s">
        <v>18</v>
      </c>
      <c r="E4">
        <v>8000</v>
      </c>
    </row>
    <row r="5" spans="1:5" x14ac:dyDescent="0.25">
      <c r="A5" t="s">
        <v>22</v>
      </c>
      <c r="B5">
        <f>B3/B4</f>
        <v>2680.8510638297871</v>
      </c>
    </row>
  </sheetData>
  <pageMargins left="0.75" right="0.75" top="1" bottom="1" header="0.5" footer="0.5"/>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Planilha5"/>
  <dimension ref="A1:L116"/>
  <sheetViews>
    <sheetView showGridLines="0" showRowColHeaders="0" tabSelected="1" zoomScale="64" zoomScaleNormal="64" workbookViewId="0">
      <selection activeCell="Q48" sqref="Q48"/>
    </sheetView>
  </sheetViews>
  <sheetFormatPr defaultRowHeight="15" x14ac:dyDescent="0.25"/>
  <cols>
    <col min="2" max="2" width="14.140625" bestFit="1" customWidth="1"/>
    <col min="36" max="36" width="11.5703125" bestFit="1" customWidth="1"/>
  </cols>
  <sheetData>
    <row r="1" spans="1:2" ht="23.25" x14ac:dyDescent="0.35">
      <c r="A1" s="3"/>
    </row>
    <row r="4" spans="1:2" x14ac:dyDescent="0.25">
      <c r="B4" s="8">
        <v>94500</v>
      </c>
    </row>
    <row r="49" spans="11:11" x14ac:dyDescent="0.25">
      <c r="K49">
        <f>COUNTA(_FV(R$66,"000"),_FV( R$68,"000"),_FV( R$98,"500"))</f>
        <v>3</v>
      </c>
    </row>
    <row r="116" spans="12:12" x14ac:dyDescent="0.25">
      <c r="L116" s="7"/>
    </row>
  </sheetData>
  <pageMargins left="0.75" right="0.75" top="1" bottom="1" header="0.5" footer="0.5"/>
  <pageSetup paperSize="9" orientation="portrait" r:id="rId1"/>
  <drawing r:id="rId2"/>
  <extLst>
    <ext xmlns:x14="http://schemas.microsoft.com/office/spreadsheetml/2009/9/main" uri="{A8765BA9-456A-4dab-B4F3-ACF838C121DE}">
      <x14:slicerList>
        <x14:slicer r:id="rId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A64FF072A1A57D43B816DF6712F828DA" ma:contentTypeVersion="4" ma:contentTypeDescription="Crie um novo documento." ma:contentTypeScope="" ma:versionID="149ffcfc8ebf98ce7d9e12bee6acfa8b">
  <xsd:schema xmlns:xsd="http://www.w3.org/2001/XMLSchema" xmlns:xs="http://www.w3.org/2001/XMLSchema" xmlns:p="http://schemas.microsoft.com/office/2006/metadata/properties" xmlns:ns3="7c042629-7fc4-42f0-ae1d-d9bdb232c785" targetNamespace="http://schemas.microsoft.com/office/2006/metadata/properties" ma:root="true" ma:fieldsID="41b8599acad514e49c4e5a02190d667a" ns3:_="">
    <xsd:import namespace="7c042629-7fc4-42f0-ae1d-d9bdb232c785"/>
    <xsd:element name="properties">
      <xsd:complexType>
        <xsd:sequence>
          <xsd:element name="documentManagement">
            <xsd:complexType>
              <xsd:all>
                <xsd:element ref="ns3:MediaServiceDateTaken" minOccurs="0"/>
                <xsd:element ref="ns3:MediaServiceMetadata" minOccurs="0"/>
                <xsd:element ref="ns3:MediaServiceFastMetadata" minOccurs="0"/>
                <xsd:element ref="ns3: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c042629-7fc4-42f0-ae1d-d9bdb232c785" elementFormDefault="qualified">
    <xsd:import namespace="http://schemas.microsoft.com/office/2006/documentManagement/types"/>
    <xsd:import namespace="http://schemas.microsoft.com/office/infopath/2007/PartnerControls"/>
    <xsd:element name="MediaServiceDateTaken" ma:index="8" nillable="true" ma:displayName="MediaServiceDateTaken" ma:hidden="true" ma:indexed="true" ma:internalName="MediaServiceDateTaken" ma:readOnly="true">
      <xsd:simpleType>
        <xsd:restriction base="dms:Text"/>
      </xsd:simpleType>
    </xsd:element>
    <xsd:element name="MediaServiceMetadata" ma:index="9" nillable="true" ma:displayName="MediaServiceMetadata" ma:hidden="true" ma:internalName="MediaServiceMetadata" ma:readOnly="true">
      <xsd:simpleType>
        <xsd:restriction base="dms:Note"/>
      </xsd:simpleType>
    </xsd:element>
    <xsd:element name="MediaServiceFastMetadata" ma:index="10" nillable="true" ma:displayName="MediaServiceFastMetadata" ma:hidden="true" ma:internalName="MediaServiceFastMetadata" ma:readOnly="true">
      <xsd:simpleType>
        <xsd:restriction base="dms:Note"/>
      </xsd:simpleType>
    </xsd:element>
    <xsd:element name="MediaServiceSearchProperties" ma:index="11"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ú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8C23C671-2B49-4E12-B834-69F92EAD6B8E}">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7c042629-7fc4-42f0-ae1d-d9bdb232c785"/>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ECCD6A96-44FB-4AD4-8119-5DEB64651504}">
  <ds:schemaRefs>
    <ds:schemaRef ds:uri="http://schemas.microsoft.com/office/2006/documentManagement/types"/>
    <ds:schemaRef ds:uri="http://purl.org/dc/terms/"/>
    <ds:schemaRef ds:uri="http://schemas.microsoft.com/office/infopath/2007/PartnerControls"/>
    <ds:schemaRef ds:uri="http://purl.org/dc/elements/1.1/"/>
    <ds:schemaRef ds:uri="http://www.w3.org/XML/1998/namespace"/>
    <ds:schemaRef ds:uri="http://schemas.openxmlformats.org/package/2006/metadata/core-properties"/>
    <ds:schemaRef ds:uri="http://purl.org/dc/dcmitype/"/>
    <ds:schemaRef ds:uri="7c042629-7fc4-42f0-ae1d-d9bdb232c785"/>
    <ds:schemaRef ds:uri="http://schemas.microsoft.com/office/2006/metadata/properties"/>
  </ds:schemaRefs>
</ds:datastoreItem>
</file>

<file path=customXml/itemProps3.xml><?xml version="1.0" encoding="utf-8"?>
<ds:datastoreItem xmlns:ds="http://schemas.openxmlformats.org/officeDocument/2006/customXml" ds:itemID="{052B5A63-7173-43F3-B3B1-A685443E1486}">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4</vt:i4>
      </vt:variant>
    </vt:vector>
  </HeadingPairs>
  <TitlesOfParts>
    <vt:vector size="4" baseType="lpstr">
      <vt:lpstr>Base_Dados</vt:lpstr>
      <vt:lpstr>Sheet7</vt:lpstr>
      <vt:lpstr>KPIs</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kelton lopes almeida_262030671</cp:lastModifiedBy>
  <cp:lastPrinted>2026-09-09T21:09:46Z</cp:lastPrinted>
  <dcterms:created xsi:type="dcterms:W3CDTF">2026-09-09T18:28:12Z</dcterms:created>
  <dcterms:modified xsi:type="dcterms:W3CDTF">2026-09-11T02:53:40Z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0x010100A64FF072A1A57D43B816DF6712F828DA</vt:lpwstr>
  </property>
</Properties>
</file>